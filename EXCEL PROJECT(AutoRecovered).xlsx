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Saba Ansari\Documents\CSVS\"/>
    </mc:Choice>
  </mc:AlternateContent>
  <xr:revisionPtr revIDLastSave="0" documentId="13_ncr:1_{D16E9682-873E-4939-B299-E055A2033C6B}" xr6:coauthVersionLast="47" xr6:coauthVersionMax="47" xr10:uidLastSave="{00000000-0000-0000-0000-000000000000}"/>
  <bookViews>
    <workbookView xWindow="-108" yWindow="-108" windowWidth="23256" windowHeight="13896" firstSheet="6" activeTab="7" xr2:uid="{E34B196D-7AA4-4BB8-A36F-1CB6317A01DB}"/>
  </bookViews>
  <sheets>
    <sheet name="Raw Data" sheetId="2" r:id="rId1"/>
    <sheet name="clean data" sheetId="3" r:id="rId2"/>
    <sheet name="REGIONAL PATIENT DISTRIBUTION" sheetId="8" r:id="rId3"/>
    <sheet name="GENDER WISE BMI SPREAD" sheetId="9" r:id="rId4"/>
    <sheet name="GENDER VS SMOKING STATUS" sheetId="10" r:id="rId5"/>
    <sheet name="AVERAGE CHARGES BY NUMBER OF CH" sheetId="11" r:id="rId6"/>
    <sheet name="AVERAGE BMI AND AGE BY REGION" sheetId="14" r:id="rId7"/>
    <sheet name="DASHBOARD" sheetId="16" r:id="rId8"/>
  </sheets>
  <definedNames>
    <definedName name="Slicer_Age_Group">#N/A</definedName>
    <definedName name="Slicer_BMI_CATEGORY">#N/A</definedName>
    <definedName name="Slicer_Gender">#N/A</definedName>
    <definedName name="Slicer_Region">#N/A</definedName>
    <definedName name="Slicer_Smoking_Status">#N/A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3" l="1"/>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2" i="3"/>
</calcChain>
</file>

<file path=xl/sharedStrings.xml><?xml version="1.0" encoding="utf-8"?>
<sst xmlns="http://schemas.openxmlformats.org/spreadsheetml/2006/main" count="455" uniqueCount="128">
  <si>
    <t>Healthcare Insurance Data</t>
  </si>
  <si>
    <t>Name</t>
  </si>
  <si>
    <t>Age</t>
  </si>
  <si>
    <t>Gender</t>
  </si>
  <si>
    <t>BMI</t>
  </si>
  <si>
    <t>Children</t>
  </si>
  <si>
    <t>Smoking Status</t>
  </si>
  <si>
    <t>John Smith</t>
  </si>
  <si>
    <t>Male</t>
  </si>
  <si>
    <t>Non-Smoker</t>
  </si>
  <si>
    <t>New York</t>
  </si>
  <si>
    <t>Emily Johnson</t>
  </si>
  <si>
    <t>Female</t>
  </si>
  <si>
    <t>Los Angeles</t>
  </si>
  <si>
    <t>Michael Williams</t>
  </si>
  <si>
    <t>Smoker</t>
  </si>
  <si>
    <t>Chicago</t>
  </si>
  <si>
    <t>Sarah Brown</t>
  </si>
  <si>
    <t>Houston</t>
  </si>
  <si>
    <t>David Jones</t>
  </si>
  <si>
    <t>Phoenix</t>
  </si>
  <si>
    <t>Jennifer Martinez</t>
  </si>
  <si>
    <t>Philadelphia</t>
  </si>
  <si>
    <t>Daniel Anderson</t>
  </si>
  <si>
    <t>San Antonio</t>
  </si>
  <si>
    <t>Jessica Wilson</t>
  </si>
  <si>
    <t>San Diego</t>
  </si>
  <si>
    <t>Matthew Taylor</t>
  </si>
  <si>
    <t>Dallas</t>
  </si>
  <si>
    <t>Emma Garcia</t>
  </si>
  <si>
    <t>San Jose</t>
  </si>
  <si>
    <t>Christopher Rodriguez</t>
  </si>
  <si>
    <t>Austin</t>
  </si>
  <si>
    <t>Olivia Hernandez</t>
  </si>
  <si>
    <t>Jacksonville</t>
  </si>
  <si>
    <t>James Martinez</t>
  </si>
  <si>
    <t>San Francisco</t>
  </si>
  <si>
    <t>Sophia Thompson</t>
  </si>
  <si>
    <t>Indianapolis</t>
  </si>
  <si>
    <t>David Lopez</t>
  </si>
  <si>
    <t>Columbus</t>
  </si>
  <si>
    <t>Isabella Perez</t>
  </si>
  <si>
    <t>Fort Worth</t>
  </si>
  <si>
    <t>Daniel Scott</t>
  </si>
  <si>
    <t>Charlotte</t>
  </si>
  <si>
    <t>Amelia Moore</t>
  </si>
  <si>
    <t>Seattle</t>
  </si>
  <si>
    <t>Michael Wilson</t>
  </si>
  <si>
    <t>Denver</t>
  </si>
  <si>
    <t>Mia Taylor</t>
  </si>
  <si>
    <t>Detroit</t>
  </si>
  <si>
    <t>Ethan Harris</t>
  </si>
  <si>
    <t>Washington</t>
  </si>
  <si>
    <t>Ava Martin</t>
  </si>
  <si>
    <t>Boston</t>
  </si>
  <si>
    <t>Alexander King</t>
  </si>
  <si>
    <t>Nashville</t>
  </si>
  <si>
    <t>Chloe Lee</t>
  </si>
  <si>
    <t>Memphis</t>
  </si>
  <si>
    <t>William White</t>
  </si>
  <si>
    <t>Portland</t>
  </si>
  <si>
    <t>Abigail Allen</t>
  </si>
  <si>
    <t>Oklahoma City</t>
  </si>
  <si>
    <t>Ryan Hall</t>
  </si>
  <si>
    <t>Las Vegas</t>
  </si>
  <si>
    <t>Harper Young</t>
  </si>
  <si>
    <t>Louisville</t>
  </si>
  <si>
    <t>Benjamin Hernandez</t>
  </si>
  <si>
    <t>Baltimore</t>
  </si>
  <si>
    <t>Evelyn Garcia</t>
  </si>
  <si>
    <t>Milwaukee</t>
  </si>
  <si>
    <t>Lucas Martinez</t>
  </si>
  <si>
    <t>Albuquerque</t>
  </si>
  <si>
    <t>Zoe Scott</t>
  </si>
  <si>
    <t>Tucson</t>
  </si>
  <si>
    <t>Aiden Adams</t>
  </si>
  <si>
    <t>Fresno</t>
  </si>
  <si>
    <t>Nora Wood</t>
  </si>
  <si>
    <t>Sacramento</t>
  </si>
  <si>
    <t>Jackson Mitchell</t>
  </si>
  <si>
    <t>Mesa</t>
  </si>
  <si>
    <t>Leah Price</t>
  </si>
  <si>
    <t>Atlanta</t>
  </si>
  <si>
    <t>Logan Carter</t>
  </si>
  <si>
    <t>Kansas City</t>
  </si>
  <si>
    <t>Avery Cooper</t>
  </si>
  <si>
    <t>Miami</t>
  </si>
  <si>
    <t>Henry Rivera</t>
  </si>
  <si>
    <t>Long Beach</t>
  </si>
  <si>
    <t>Ella Richardson</t>
  </si>
  <si>
    <t>Virginia Beach</t>
  </si>
  <si>
    <t>David Perez</t>
  </si>
  <si>
    <t>Oakland</t>
  </si>
  <si>
    <t>Scarlett Ross</t>
  </si>
  <si>
    <t>Tulsa</t>
  </si>
  <si>
    <t>Jack Ward</t>
  </si>
  <si>
    <t>Tampa</t>
  </si>
  <si>
    <t>Lily Morris</t>
  </si>
  <si>
    <t>Arlington</t>
  </si>
  <si>
    <t>Lucas Baker</t>
  </si>
  <si>
    <t>Wichita</t>
  </si>
  <si>
    <t>Sophia Foster</t>
  </si>
  <si>
    <t>New Orleans</t>
  </si>
  <si>
    <t>Excel Data for Analysis</t>
  </si>
  <si>
    <t>Region</t>
  </si>
  <si>
    <t>Charges</t>
  </si>
  <si>
    <t>BMI CATEGORY</t>
  </si>
  <si>
    <t>Age Group</t>
  </si>
  <si>
    <t>Row Labels</t>
  </si>
  <si>
    <t>Grand Total</t>
  </si>
  <si>
    <t>Patient ID</t>
  </si>
  <si>
    <t>Sum of Patient ID</t>
  </si>
  <si>
    <t>Column Labels</t>
  </si>
  <si>
    <t>Normal</t>
  </si>
  <si>
    <t>Obese</t>
  </si>
  <si>
    <t>Overweight</t>
  </si>
  <si>
    <t>Count of Age Group</t>
  </si>
  <si>
    <t>Count of Patient ID</t>
  </si>
  <si>
    <t>Average of Charges</t>
  </si>
  <si>
    <t>Average of BMI</t>
  </si>
  <si>
    <t>Average of Age</t>
  </si>
  <si>
    <t>Healthcare Insurance Dashboard</t>
  </si>
  <si>
    <t>Total Patients: 47</t>
  </si>
  <si>
    <t>Average Charges: ₹17856.17</t>
  </si>
  <si>
    <t>Average BMI: 28.49</t>
  </si>
  <si>
    <t>Top Region by Patients: New York</t>
  </si>
  <si>
    <t>Region with Highest BMI: Tampa</t>
  </si>
  <si>
    <t>Lowest Average Charges: Memphis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</si>
</sst>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Aptos Narrow"/>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b/>
      <sz val="12"/>
      <color theme="0"/>
      <name val="Calibri"/>
      <family val="2"/>
    </font>
    <font>
      <b/>
      <sz val="24"/>
      <color theme="6"/>
      <name val="Cambria"/>
      <family val="1"/>
    </font>
    <font>
      <b/>
      <sz val="24"/>
      <color theme="6"/>
      <name val="Aptos Narrow"/>
      <family val="2"/>
      <scheme val="minor"/>
    </font>
    <font>
      <b/>
      <sz val="12"/>
      <name val="Calibri"/>
    </font>
    <font>
      <b/>
      <sz val="11"/>
      <name val="Calibri"/>
    </font>
  </fonts>
  <fills count="7">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0"/>
        <bgColor indexed="64"/>
      </patternFill>
    </fill>
    <fill>
      <patternFill patternType="solid">
        <fgColor rgb="FFD9EAD3"/>
        <bgColor rgb="FFD9EAD3"/>
      </patternFill>
    </fill>
    <fill>
      <patternFill patternType="solid">
        <fgColor rgb="FFFFF2CC"/>
        <bgColor rgb="FFFFF2CC"/>
      </patternFill>
    </fill>
  </fills>
  <borders count="14">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theme="0"/>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Continuous" vertical="center"/>
    </xf>
    <xf numFmtId="0" fontId="2" fillId="0" borderId="0" xfId="0" applyFont="1"/>
    <xf numFmtId="0" fontId="3" fillId="2" borderId="1" xfId="0" applyFont="1" applyFill="1" applyBorder="1" applyAlignment="1">
      <alignment horizontal="centerContinuous" vertical="center"/>
    </xf>
    <xf numFmtId="0" fontId="4" fillId="3" borderId="2" xfId="0" applyFont="1" applyFill="1" applyBorder="1" applyAlignment="1">
      <alignment horizontal="center" vertical="center"/>
    </xf>
    <xf numFmtId="0" fontId="5" fillId="0" borderId="2" xfId="0" applyFont="1" applyBorder="1" applyAlignment="1">
      <alignment vertical="center"/>
    </xf>
    <xf numFmtId="0" fontId="4" fillId="3" borderId="4" xfId="0" applyFont="1" applyFill="1" applyBorder="1" applyAlignment="1">
      <alignment horizontal="center" vertical="center"/>
    </xf>
    <xf numFmtId="0" fontId="5" fillId="0" borderId="3" xfId="0" applyFont="1" applyBorder="1" applyAlignment="1">
      <alignment horizontal="center" vertical="center"/>
    </xf>
    <xf numFmtId="0" fontId="0" fillId="0" borderId="3" xfId="0" applyBorder="1" applyAlignment="1">
      <alignment horizontal="center"/>
    </xf>
    <xf numFmtId="0" fontId="6" fillId="3" borderId="4" xfId="0" applyFont="1" applyFill="1" applyBorder="1" applyAlignment="1">
      <alignment horizontal="center" vertical="center"/>
    </xf>
    <xf numFmtId="0" fontId="0" fillId="0" borderId="0" xfId="0" pivotButton="1"/>
    <xf numFmtId="0" fontId="0" fillId="0" borderId="0" xfId="0" applyAlignment="1">
      <alignment horizontal="left"/>
    </xf>
    <xf numFmtId="0" fontId="4" fillId="3" borderId="5" xfId="0" applyFont="1" applyFill="1" applyBorder="1" applyAlignment="1">
      <alignment horizontal="center" vertical="center"/>
    </xf>
    <xf numFmtId="0" fontId="5" fillId="0" borderId="6" xfId="0" applyFont="1" applyBorder="1" applyAlignment="1">
      <alignment horizontal="center" vertical="center"/>
    </xf>
    <xf numFmtId="0" fontId="0" fillId="0" borderId="6" xfId="0" applyBorder="1" applyAlignment="1">
      <alignment horizontal="center" vertical="center"/>
    </xf>
    <xf numFmtId="0" fontId="4" fillId="3" borderId="3" xfId="0" applyFont="1" applyFill="1" applyBorder="1" applyAlignment="1">
      <alignment horizontal="center" vertical="center"/>
    </xf>
    <xf numFmtId="0" fontId="0" fillId="0" borderId="3" xfId="0" applyBorder="1"/>
    <xf numFmtId="0" fontId="0" fillId="4" borderId="0" xfId="0" applyFill="1"/>
    <xf numFmtId="0" fontId="7" fillId="4" borderId="7" xfId="0" applyFont="1" applyFill="1" applyBorder="1" applyAlignment="1">
      <alignment horizontal="center"/>
    </xf>
    <xf numFmtId="0" fontId="8" fillId="4" borderId="7" xfId="0" applyFont="1" applyFill="1" applyBorder="1" applyAlignment="1">
      <alignment horizontal="center"/>
    </xf>
    <xf numFmtId="0" fontId="0" fillId="0" borderId="8" xfId="0" applyBorder="1"/>
    <xf numFmtId="0" fontId="0" fillId="0" borderId="9" xfId="0" applyBorder="1"/>
    <xf numFmtId="0" fontId="0" fillId="0" borderId="10" xfId="0" applyBorder="1"/>
    <xf numFmtId="0" fontId="0" fillId="0" borderId="0" xfId="0"/>
    <xf numFmtId="0" fontId="0" fillId="0" borderId="11" xfId="0" applyBorder="1"/>
    <xf numFmtId="0" fontId="0" fillId="0" borderId="12" xfId="0" applyBorder="1"/>
    <xf numFmtId="0" fontId="0" fillId="0" borderId="13" xfId="0" applyBorder="1"/>
    <xf numFmtId="0" fontId="0" fillId="0" borderId="5" xfId="0" applyBorder="1"/>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5" xfId="0" applyBorder="1" applyAlignment="1">
      <alignment horizontal="center"/>
    </xf>
    <xf numFmtId="0" fontId="9" fillId="5" borderId="3" xfId="0" applyFont="1" applyFill="1" applyBorder="1" applyAlignment="1">
      <alignment horizontal="center" vertical="center"/>
    </xf>
    <xf numFmtId="0" fontId="10" fillId="6" borderId="3" xfId="0" applyFont="1" applyFill="1" applyBorder="1" applyAlignment="1">
      <alignment horizontal="center" vertical="center"/>
    </xf>
    <xf numFmtId="0" fontId="0" fillId="0" borderId="0" xfId="0" applyNumberFormat="1"/>
  </cellXfs>
  <cellStyles count="1">
    <cellStyle name="Normal" xfId="0" builtinId="0"/>
  </cellStyles>
  <dxfs count="3">
    <dxf>
      <border diagonalUp="0" diagonalDown="0">
        <left/>
        <right/>
        <top/>
        <bottom/>
        <vertical/>
        <horizontal/>
      </border>
    </dxf>
    <dxf>
      <border diagonalUp="0" diagonalDown="0">
        <left/>
        <right/>
        <top/>
        <bottom/>
        <vertical/>
        <horizontal/>
      </border>
    </dxf>
    <dxf>
      <border diagonalUp="0" diagonalDown="0">
        <left/>
        <right/>
        <top/>
        <bottom/>
        <vertical/>
        <horizontal/>
      </border>
    </dxf>
  </dxfs>
  <tableStyles count="4" defaultTableStyle="TableStyleMedium2" defaultPivotStyle="PivotStyleLight16">
    <tableStyle name="no border" pivot="0" table="0" count="1" xr9:uid="{84353E1E-952E-458C-8F96-C1D8AE981A3B}">
      <tableStyleElement type="wholeTable" dxfId="2"/>
    </tableStyle>
    <tableStyle name="Slicer Style 1" pivot="0" table="0" count="1" xr9:uid="{EC46EFD9-1DB3-46DF-80A0-F8738C4C025D}"/>
    <tableStyle name="Slicer Style 2" pivot="0" table="0" count="1" xr9:uid="{178D1F21-7B0A-4762-985C-2065BFBB1B4F}">
      <tableStyleElement type="wholeTable" dxfId="1"/>
    </tableStyle>
    <tableStyle name="Slicer Style 3" pivot="0" table="0" count="1" xr9:uid="{F383804D-5035-452C-85E5-3945CB64EED3}">
      <tableStyleElement type="wholeTable" dxfId="0"/>
    </tableStyle>
  </tableStyles>
  <colors>
    <mruColors>
      <color rgb="FFFFFF99"/>
      <color rgb="FFC694C8"/>
    </mruColors>
  </colors>
  <extLst>
    <ext xmlns:x14="http://schemas.microsoft.com/office/spreadsheetml/2009/9/main" uri="{EB79DEF2-80B8-43e5-95BD-54CBDDF9020C}">
      <x14:slicerStyles defaultSlicerStyle="SlicerStyleLight1">
        <x14:slicerStyle name="no border"/>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[EXCEL PROJECT(AutoRecovered).xlsx]REGIONAL PATIENT DISTRIBUTION!PivotTable2</c:name>
    <c:fmtId val="0"/>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t>Regional</a:t>
            </a:r>
            <a:r>
              <a:rPr lang="en-US" baseline="0"/>
              <a:t> Patient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PATIENT DISTRIBUTION'!$B$3</c:f>
              <c:strCache>
                <c:ptCount val="1"/>
                <c:pt idx="0">
                  <c:v>Total</c:v>
                </c:pt>
              </c:strCache>
            </c:strRef>
          </c:tx>
          <c:spPr>
            <a:solidFill>
              <a:schemeClr val="accent3"/>
            </a:solidFill>
            <a:ln>
              <a:noFill/>
            </a:ln>
            <a:effectLst/>
          </c:spPr>
          <c:invertIfNegative val="0"/>
          <c:cat>
            <c:strRef>
              <c:f>'REGIONAL PATIENT DISTRIBUTION'!$A$4:$A$14</c:f>
              <c:strCache>
                <c:ptCount val="10"/>
                <c:pt idx="0">
                  <c:v>Arlington</c:v>
                </c:pt>
                <c:pt idx="1">
                  <c:v>Kansas City</c:v>
                </c:pt>
                <c:pt idx="2">
                  <c:v>Long Beach</c:v>
                </c:pt>
                <c:pt idx="3">
                  <c:v>Miami</c:v>
                </c:pt>
                <c:pt idx="4">
                  <c:v>New Orleans</c:v>
                </c:pt>
                <c:pt idx="5">
                  <c:v>Oakland</c:v>
                </c:pt>
                <c:pt idx="6">
                  <c:v>Tampa</c:v>
                </c:pt>
                <c:pt idx="7">
                  <c:v>Tulsa</c:v>
                </c:pt>
                <c:pt idx="8">
                  <c:v>Virginia Beach</c:v>
                </c:pt>
                <c:pt idx="9">
                  <c:v>Wichita</c:v>
                </c:pt>
              </c:strCache>
            </c:strRef>
          </c:cat>
          <c:val>
            <c:numRef>
              <c:f>'REGIONAL PATIENT DISTRIBUTION'!$B$4:$B$14</c:f>
              <c:numCache>
                <c:formatCode>General</c:formatCode>
                <c:ptCount val="10"/>
                <c:pt idx="0">
                  <c:v>44</c:v>
                </c:pt>
                <c:pt idx="1">
                  <c:v>37</c:v>
                </c:pt>
                <c:pt idx="2">
                  <c:v>39</c:v>
                </c:pt>
                <c:pt idx="3">
                  <c:v>38</c:v>
                </c:pt>
                <c:pt idx="4">
                  <c:v>46</c:v>
                </c:pt>
                <c:pt idx="5">
                  <c:v>41</c:v>
                </c:pt>
                <c:pt idx="6">
                  <c:v>43</c:v>
                </c:pt>
                <c:pt idx="7">
                  <c:v>42</c:v>
                </c:pt>
                <c:pt idx="8">
                  <c:v>40</c:v>
                </c:pt>
                <c:pt idx="9">
                  <c:v>45</c:v>
                </c:pt>
              </c:numCache>
            </c:numRef>
          </c:val>
          <c:extLst>
            <c:ext xmlns:c16="http://schemas.microsoft.com/office/drawing/2014/chart" uri="{C3380CC4-5D6E-409C-BE32-E72D297353CC}">
              <c16:uniqueId val="{00000000-0418-4F10-B023-191C2F7848A6}"/>
            </c:ext>
          </c:extLst>
        </c:ser>
        <c:dLbls>
          <c:showLegendKey val="0"/>
          <c:showVal val="0"/>
          <c:showCatName val="0"/>
          <c:showSerName val="0"/>
          <c:showPercent val="0"/>
          <c:showBubbleSize val="0"/>
        </c:dLbls>
        <c:gapWidth val="219"/>
        <c:overlap val="-27"/>
        <c:axId val="1788943871"/>
        <c:axId val="1788944351"/>
      </c:barChart>
      <c:catAx>
        <c:axId val="178894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8944351"/>
        <c:crosses val="autoZero"/>
        <c:auto val="1"/>
        <c:lblAlgn val="ctr"/>
        <c:lblOffset val="100"/>
        <c:noMultiLvlLbl val="0"/>
      </c:catAx>
      <c:valAx>
        <c:axId val="1788944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8943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[EXCEL PROJECT(AutoRecovered).xlsx]GENDER WISE BMI SPREAD!PivotTable3</c:name>
    <c:fmtId val="0"/>
  </c:pivotSource>
  <c:chart>
    <c:title>
      <c:tx>
        <c:rich>
          <a:bodyPr rot="0" spcFirstLastPara="1" vertOverflow="ellipsis" vert="horz" wrap="square" anchor="ctr" anchorCtr="1"/>
          <a:lstStyle/>
          <a:p>
            <a:pPr>
              <a:defRPr sz="1400" b="1" i="0" u="none" strike="noStrike" kern="1200" spc="0" baseline="0">
                <a:solidFill>
                  <a:schemeClr val="bg1">
                    <a:lumMod val="75000"/>
                  </a:schemeClr>
                </a:solidFill>
                <a:latin typeface="+mn-lt"/>
                <a:ea typeface="+mn-ea"/>
                <a:cs typeface="+mn-cs"/>
              </a:defRPr>
            </a:pPr>
            <a:r>
              <a:rPr lang="en-IN">
                <a:solidFill>
                  <a:schemeClr val="accent3"/>
                </a:solidFill>
              </a:rPr>
              <a:t>Gender</a:t>
            </a:r>
            <a:r>
              <a:rPr lang="en-IN" baseline="0">
                <a:solidFill>
                  <a:schemeClr val="accent3"/>
                </a:solidFill>
              </a:rPr>
              <a:t>-wise BMI Spread</a:t>
            </a:r>
            <a:endParaRPr lang="en-IN">
              <a:solidFill>
                <a:schemeClr val="accent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lumMod val="7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'GENDER WISE BMI SPREAD'!$B$3:$B$4</c:f>
              <c:strCache>
                <c:ptCount val="1"/>
                <c:pt idx="0">
                  <c:v>Normal</c:v>
                </c:pt>
              </c:strCache>
            </c:strRef>
          </c:tx>
          <c:spPr>
            <a:solidFill>
              <a:schemeClr val="accent3">
                <a:shade val="65000"/>
              </a:schemeClr>
            </a:solidFill>
            <a:ln>
              <a:noFill/>
            </a:ln>
            <a:effectLst/>
          </c:spPr>
          <c:invertIfNegative val="0"/>
          <c:cat>
            <c:strRef>
              <c:f>'GENDER WISE BMI SPREAD'!$A$5:$A$7</c:f>
              <c:strCache>
                <c:ptCount val="2"/>
                <c:pt idx="0">
                  <c:v>Female</c:v>
                </c:pt>
                <c:pt idx="1">
                  <c:v>Male</c:v>
                </c:pt>
              </c:strCache>
            </c:strRef>
          </c:cat>
          <c:val>
            <c:numRef>
              <c:f>'GENDER WISE BMI SPREAD'!$B$5:$B$7</c:f>
              <c:numCache>
                <c:formatCode>General</c:formatCode>
                <c:ptCount val="2"/>
                <c:pt idx="0">
                  <c:v>4</c:v>
                </c:pt>
              </c:numCache>
            </c:numRef>
          </c:val>
          <c:extLst>
            <c:ext xmlns:c16="http://schemas.microsoft.com/office/drawing/2014/chart" uri="{C3380CC4-5D6E-409C-BE32-E72D297353CC}">
              <c16:uniqueId val="{00000004-1BD5-4D38-BC28-874FB1E77F37}"/>
            </c:ext>
          </c:extLst>
        </c:ser>
        <c:ser>
          <c:idx val="1"/>
          <c:order val="1"/>
          <c:tx>
            <c:strRef>
              <c:f>'GENDER WISE BMI SPREAD'!$C$3:$C$4</c:f>
              <c:strCache>
                <c:ptCount val="1"/>
                <c:pt idx="0">
                  <c:v>Obese</c:v>
                </c:pt>
              </c:strCache>
            </c:strRef>
          </c:tx>
          <c:spPr>
            <a:solidFill>
              <a:schemeClr val="accent3"/>
            </a:solidFill>
            <a:ln>
              <a:noFill/>
            </a:ln>
            <a:effectLst/>
          </c:spPr>
          <c:invertIfNegative val="0"/>
          <c:cat>
            <c:strRef>
              <c:f>'GENDER WISE BMI SPREAD'!$A$5:$A$7</c:f>
              <c:strCache>
                <c:ptCount val="2"/>
                <c:pt idx="0">
                  <c:v>Female</c:v>
                </c:pt>
                <c:pt idx="1">
                  <c:v>Male</c:v>
                </c:pt>
              </c:strCache>
            </c:strRef>
          </c:cat>
          <c:val>
            <c:numRef>
              <c:f>'GENDER WISE BMI SPREAD'!$C$5:$C$7</c:f>
              <c:numCache>
                <c:formatCode>General</c:formatCode>
                <c:ptCount val="2"/>
                <c:pt idx="0">
                  <c:v>1</c:v>
                </c:pt>
                <c:pt idx="1">
                  <c:v>16</c:v>
                </c:pt>
              </c:numCache>
            </c:numRef>
          </c:val>
          <c:extLst>
            <c:ext xmlns:c16="http://schemas.microsoft.com/office/drawing/2014/chart" uri="{C3380CC4-5D6E-409C-BE32-E72D297353CC}">
              <c16:uniqueId val="{00000005-1BD5-4D38-BC28-874FB1E77F37}"/>
            </c:ext>
          </c:extLst>
        </c:ser>
        <c:ser>
          <c:idx val="2"/>
          <c:order val="2"/>
          <c:tx>
            <c:strRef>
              <c:f>'GENDER WISE BMI SPREAD'!$D$3:$D$4</c:f>
              <c:strCache>
                <c:ptCount val="1"/>
                <c:pt idx="0">
                  <c:v>Overweight</c:v>
                </c:pt>
              </c:strCache>
            </c:strRef>
          </c:tx>
          <c:spPr>
            <a:solidFill>
              <a:schemeClr val="accent3">
                <a:tint val="65000"/>
              </a:schemeClr>
            </a:solidFill>
            <a:ln>
              <a:noFill/>
            </a:ln>
            <a:effectLst/>
          </c:spPr>
          <c:invertIfNegative val="0"/>
          <c:cat>
            <c:strRef>
              <c:f>'GENDER WISE BMI SPREAD'!$A$5:$A$7</c:f>
              <c:strCache>
                <c:ptCount val="2"/>
                <c:pt idx="0">
                  <c:v>Female</c:v>
                </c:pt>
                <c:pt idx="1">
                  <c:v>Male</c:v>
                </c:pt>
              </c:strCache>
            </c:strRef>
          </c:cat>
          <c:val>
            <c:numRef>
              <c:f>'GENDER WISE BMI SPREAD'!$D$5:$D$7</c:f>
              <c:numCache>
                <c:formatCode>General</c:formatCode>
                <c:ptCount val="2"/>
                <c:pt idx="0">
                  <c:v>18</c:v>
                </c:pt>
                <c:pt idx="1">
                  <c:v>7</c:v>
                </c:pt>
              </c:numCache>
            </c:numRef>
          </c:val>
          <c:extLst>
            <c:ext xmlns:c16="http://schemas.microsoft.com/office/drawing/2014/chart" uri="{C3380CC4-5D6E-409C-BE32-E72D297353CC}">
              <c16:uniqueId val="{00000006-1BD5-4D38-BC28-874FB1E77F37}"/>
            </c:ext>
          </c:extLst>
        </c:ser>
        <c:dLbls>
          <c:showLegendKey val="0"/>
          <c:showVal val="0"/>
          <c:showCatName val="0"/>
          <c:showSerName val="0"/>
          <c:showPercent val="0"/>
          <c:showBubbleSize val="0"/>
        </c:dLbls>
        <c:gapWidth val="150"/>
        <c:overlap val="100"/>
        <c:axId val="2101698479"/>
        <c:axId val="2101714799"/>
      </c:barChart>
      <c:catAx>
        <c:axId val="210169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solidFill>
                <a:latin typeface="+mn-lt"/>
                <a:ea typeface="+mn-ea"/>
                <a:cs typeface="+mn-cs"/>
              </a:defRPr>
            </a:pPr>
            <a:endParaRPr lang="en-US"/>
          </a:p>
        </c:txPr>
        <c:crossAx val="2101714799"/>
        <c:crosses val="autoZero"/>
        <c:auto val="1"/>
        <c:lblAlgn val="ctr"/>
        <c:lblOffset val="100"/>
        <c:noMultiLvlLbl val="0"/>
      </c:catAx>
      <c:valAx>
        <c:axId val="2101714799"/>
        <c:scaling>
          <c:orientation val="minMax"/>
        </c:scaling>
        <c:delete val="0"/>
        <c:axPos val="l"/>
        <c:numFmt formatCode="0%" sourceLinked="1"/>
        <c:majorTickMark val="none"/>
        <c:minorTickMark val="none"/>
        <c:tickLblPos val="nextTo"/>
        <c:spPr>
          <a:noFill/>
          <a:ln>
            <a:noFill/>
          </a:ln>
          <a:effectLst>
            <a:glow rad="127000">
              <a:schemeClr val="tx1"/>
            </a:glow>
          </a:effectLst>
        </c:spPr>
        <c:txPr>
          <a:bodyPr rot="-60000000" spcFirstLastPara="1" vertOverflow="ellipsis" vert="horz" wrap="square" anchor="ctr" anchorCtr="1"/>
          <a:lstStyle/>
          <a:p>
            <a:pPr>
              <a:defRPr sz="900" b="1" i="0" u="none" strike="noStrike" kern="1200" baseline="0">
                <a:solidFill>
                  <a:schemeClr val="accent3"/>
                </a:solidFill>
                <a:latin typeface="+mn-lt"/>
                <a:ea typeface="+mn-ea"/>
                <a:cs typeface="+mn-cs"/>
              </a:defRPr>
            </a:pPr>
            <a:endParaRPr lang="en-US"/>
          </a:p>
        </c:txPr>
        <c:crossAx val="2101698479"/>
        <c:crosses val="autoZero"/>
        <c:crossBetween val="between"/>
      </c:valAx>
      <c:spPr>
        <a:noFill/>
        <a:ln>
          <a:noFill/>
        </a:ln>
        <a:effectLst/>
      </c:spPr>
    </c:plotArea>
    <c:legend>
      <c:legendPos val="r"/>
      <c:overlay val="0"/>
      <c:spPr>
        <a:solidFill>
          <a:schemeClr val="bg1"/>
        </a:solidFill>
        <a:ln>
          <a:solidFill>
            <a:schemeClr val="bg1"/>
          </a:solidFill>
        </a:ln>
        <a:effectLst/>
      </c:spPr>
      <c:txPr>
        <a:bodyPr rot="0" spcFirstLastPara="1" vertOverflow="ellipsis" vert="horz" wrap="square" anchor="ctr" anchorCtr="1"/>
        <a:lstStyle/>
        <a:p>
          <a:pPr>
            <a:defRPr sz="900" b="1" i="0" u="none" strike="noStrike" kern="1200" baseline="0">
              <a:solidFill>
                <a:schemeClr val="accent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44450" cap="rnd" cmpd="sng" algn="ctr">
      <a:solidFill>
        <a:schemeClr val="bg1"/>
      </a:solidFill>
      <a:prstDash val="solid"/>
      <a:round/>
    </a:ln>
    <a:effectLst/>
  </c:spPr>
  <c:txPr>
    <a:bodyPr/>
    <a:lstStyle/>
    <a:p>
      <a:pPr>
        <a:defRPr b="1">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[EXCEL PROJECT(AutoRecovered).xlsx]GENDER VS SMOKING STATUS!PivotTable4</c:name>
    <c:fmtId val="0"/>
  </c:pivotSource>
  <c:chart>
    <c:title>
      <c:tx>
        <c:rich>
          <a:bodyPr rot="0" spcFirstLastPara="1" vertOverflow="ellipsis" vert="horz" wrap="square" anchor="ctr" anchorCtr="1"/>
          <a:lstStyle/>
          <a:p>
            <a:pPr algn="ctr">
              <a:defRPr sz="1400" b="0" i="0" u="none" strike="noStrike" kern="1200" spc="0" baseline="0">
                <a:solidFill>
                  <a:schemeClr val="accent3"/>
                </a:solidFill>
                <a:latin typeface="+mn-lt"/>
                <a:ea typeface="+mn-ea"/>
                <a:cs typeface="+mn-cs"/>
              </a:defRPr>
            </a:pPr>
            <a:r>
              <a:rPr lang="en-IN"/>
              <a:t>Gender Vs Smoking Status</a:t>
            </a:r>
          </a:p>
        </c:rich>
      </c:tx>
      <c:layout>
        <c:manualLayout>
          <c:xMode val="edge"/>
          <c:yMode val="edge"/>
          <c:x val="0.22878022953789182"/>
          <c:y val="1.470145629407700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accent3"/>
              </a:solidFill>
              <a:latin typeface="+mn-lt"/>
              <a:ea typeface="+mn-ea"/>
              <a:cs typeface="+mn-cs"/>
            </a:defRPr>
          </a:pPr>
          <a:endParaRPr lang="en-IN"/>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6.8074255264727768E-2"/>
              <c:y val="-8.324868495755610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B136E7CF-53E7-4051-901F-810E14D84C60}" type="SERIESNAME">
                  <a:rPr lang="en-US"/>
                  <a:pPr>
                    <a:defRPr/>
                  </a:pPr>
                  <a:t>[SERIES NAME]</a:t>
                </a:fld>
                <a:r>
                  <a:rPr lang="en-US"/>
                  <a:t> </a:t>
                </a:r>
                <a:fld id="{1772DD82-AFAD-4764-876C-F859BE095C93}"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36926395670216"/>
                  <c:h val="0.11470410689978316"/>
                </c:manualLayout>
              </c15:layout>
              <c15:dlblFieldTable/>
              <c15:showDataLabelsRange val="0"/>
            </c:ext>
          </c:extLst>
        </c:dLbl>
      </c:pivotFmt>
      <c:pivotFmt>
        <c:idx val="3"/>
        <c:spPr>
          <a:solidFill>
            <a:schemeClr val="accent3"/>
          </a:solidFill>
          <a:ln w="19050">
            <a:solidFill>
              <a:schemeClr val="lt1"/>
            </a:solidFill>
          </a:ln>
          <a:effectLst/>
        </c:spPr>
        <c:dLbl>
          <c:idx val="0"/>
          <c:layout>
            <c:manualLayout>
              <c:x val="3.3333333333333284E-2"/>
              <c:y val="8.3333333333333162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0EF33C98-B14C-43AE-9641-211CAAB6FC55}" type="SERIESNAME">
                  <a:rPr lang="en-US"/>
                  <a:pPr>
                    <a:defRPr/>
                  </a:pPr>
                  <a:t>[SERIES NAME]</a:t>
                </a:fld>
                <a:r>
                  <a:rPr lang="en-US"/>
                  <a:t> </a:t>
                </a:r>
                <a:fld id="{588CC21C-BF4B-43C3-8DA4-4208A9F08EA2}"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3"/>
          </a:solidFill>
          <a:ln w="19050">
            <a:solidFill>
              <a:schemeClr val="lt1"/>
            </a:solidFill>
          </a:ln>
          <a:effectLst/>
        </c:spPr>
        <c:dLbl>
          <c:idx val="0"/>
          <c:layout>
            <c:manualLayout>
              <c:x val="-7.5551044706371487E-2"/>
              <c:y val="-5.899842160705368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47935AB4-81B1-4523-8B89-B317A7BC6D5D}" type="SERIESNAME">
                  <a:rPr lang="en-US"/>
                  <a:pPr>
                    <a:defRPr/>
                  </a:pPr>
                  <a:t>[SERIES NAME]</a:t>
                </a:fld>
                <a:r>
                  <a:rPr lang="en-US"/>
                  <a:t> 63%</a:t>
                </a:r>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76909424992716"/>
                  <c:h val="0.15485736321164487"/>
                </c:manualLayout>
              </c15:layout>
              <c15:dlblFieldTable/>
              <c15:showDataLabelsRange val="0"/>
            </c:ext>
          </c:extLst>
        </c:dLbl>
      </c:pivotFmt>
      <c:pivotFmt>
        <c:idx val="5"/>
        <c:spPr>
          <a:solidFill>
            <a:schemeClr val="accent3"/>
          </a:solidFill>
          <a:ln w="19050">
            <a:solidFill>
              <a:schemeClr val="lt1"/>
            </a:solidFill>
          </a:ln>
          <a:effectLst/>
        </c:spPr>
        <c:dLbl>
          <c:idx val="0"/>
          <c:layout>
            <c:manualLayout>
              <c:x val="6.825317603965958E-2"/>
              <c:y val="2.7996381495694049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0B214A66-B703-4B84-A62B-183FE23CC8B7}" type="SERIESNAME">
                  <a:rPr lang="en-US"/>
                  <a:pPr>
                    <a:defRPr/>
                  </a:pPr>
                  <a:t>[SERIES NAME]</a:t>
                </a:fld>
                <a:r>
                  <a:rPr lang="en-US"/>
                  <a:t> </a:t>
                </a:r>
                <a:fld id="{1BA1856D-E98C-42B7-B1EE-58A00558435A}"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88855009215752"/>
                  <c:h val="0.15355215572925812"/>
                </c:manualLayout>
              </c15:layout>
              <c15:dlblFieldTable/>
              <c15:showDataLabelsRange val="0"/>
            </c:ext>
          </c:extLst>
        </c:dLbl>
      </c:pivotFmt>
    </c:pivotFmts>
    <c:plotArea>
      <c:layout>
        <c:manualLayout>
          <c:layoutTarget val="inner"/>
          <c:xMode val="edge"/>
          <c:yMode val="edge"/>
          <c:x val="0.24147790901137359"/>
          <c:y val="0.20744021580635755"/>
          <c:w val="0.36773840769903759"/>
          <c:h val="0.61289734616506275"/>
        </c:manualLayout>
      </c:layout>
      <c:doughnutChart>
        <c:varyColors val="1"/>
        <c:ser>
          <c:idx val="0"/>
          <c:order val="0"/>
          <c:tx>
            <c:strRef>
              <c:f>'GENDER VS SMOKING STATUS'!$B$3:$B$4</c:f>
              <c:strCache>
                <c:ptCount val="1"/>
                <c:pt idx="0">
                  <c:v>Non-Smoker</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5-CB81-4295-8ACC-A4C388165F99}"/>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6-CB81-4295-8ACC-A4C388165F99}"/>
              </c:ext>
            </c:extLst>
          </c:dPt>
          <c:dLbls>
            <c:dLbl>
              <c:idx val="0"/>
              <c:layout>
                <c:manualLayout>
                  <c:x val="-7.5551044706371487E-2"/>
                  <c:y val="-5.8998421607053687E-2"/>
                </c:manualLayout>
              </c:layout>
              <c:tx>
                <c:rich>
                  <a:bodyPr/>
                  <a:lstStyle/>
                  <a:p>
                    <a:fld id="{47935AB4-81B1-4523-8B89-B317A7BC6D5D}" type="SERIESNAME">
                      <a:rPr lang="en-US"/>
                      <a:pPr/>
                      <a:t>[SERIES NAME]</a:t>
                    </a:fld>
                    <a:r>
                      <a:rPr lang="en-US"/>
                      <a:t> 63%</a:t>
                    </a:r>
                  </a:p>
                </c:rich>
              </c:tx>
              <c:showLegendKey val="0"/>
              <c:showVal val="0"/>
              <c:showCatName val="0"/>
              <c:showSerName val="1"/>
              <c:showPercent val="1"/>
              <c:showBubbleSize val="0"/>
              <c:separator> </c:separator>
              <c:extLst>
                <c:ext xmlns:c15="http://schemas.microsoft.com/office/drawing/2012/chart" uri="{CE6537A1-D6FC-4f65-9D91-7224C49458BB}">
                  <c15:layout>
                    <c:manualLayout>
                      <c:w val="0.15676909424992716"/>
                      <c:h val="0.15485736321164487"/>
                    </c:manualLayout>
                  </c15:layout>
                  <c15:dlblFieldTable/>
                  <c15:showDataLabelsRange val="0"/>
                </c:ext>
                <c:ext xmlns:c16="http://schemas.microsoft.com/office/drawing/2014/chart" uri="{C3380CC4-5D6E-409C-BE32-E72D297353CC}">
                  <c16:uniqueId val="{00000005-CB81-4295-8ACC-A4C388165F99}"/>
                </c:ext>
              </c:extLst>
            </c:dLbl>
            <c:dLbl>
              <c:idx val="1"/>
              <c:layout>
                <c:manualLayout>
                  <c:x val="6.825317603965958E-2"/>
                  <c:y val="2.7996381495694049E-2"/>
                </c:manualLayout>
              </c:layout>
              <c:tx>
                <c:rich>
                  <a:bodyPr/>
                  <a:lstStyle/>
                  <a:p>
                    <a:fld id="{0B214A66-B703-4B84-A62B-183FE23CC8B7}" type="SERIESNAME">
                      <a:rPr lang="en-US"/>
                      <a:pPr/>
                      <a:t>[SERIES NAME]</a:t>
                    </a:fld>
                    <a:r>
                      <a:rPr lang="en-US"/>
                      <a:t> </a:t>
                    </a:r>
                    <a:fld id="{1BA1856D-E98C-42B7-B1EE-58A00558435A}" type="PERCENTAGE">
                      <a:rPr lang="en-US"/>
                      <a:pPr/>
                      <a:t>[PERCENTAGE]</a:t>
                    </a:fld>
                    <a:endParaRPr lang="en-US"/>
                  </a:p>
                </c:rich>
              </c:tx>
              <c:showLegendKey val="0"/>
              <c:showVal val="0"/>
              <c:showCatName val="0"/>
              <c:showSerName val="1"/>
              <c:showPercent val="1"/>
              <c:showBubbleSize val="0"/>
              <c:separator> </c:separator>
              <c:extLst>
                <c:ext xmlns:c15="http://schemas.microsoft.com/office/drawing/2012/chart" uri="{CE6537A1-D6FC-4f65-9D91-7224C49458BB}">
                  <c15:layout>
                    <c:manualLayout>
                      <c:w val="0.1188855009215752"/>
                      <c:h val="0.15355215572925812"/>
                    </c:manualLayout>
                  </c15:layout>
                  <c15:dlblFieldTable/>
                  <c15:showDataLabelsRange val="0"/>
                </c:ext>
                <c:ext xmlns:c16="http://schemas.microsoft.com/office/drawing/2014/chart" uri="{C3380CC4-5D6E-409C-BE32-E72D297353CC}">
                  <c16:uniqueId val="{00000006-CB81-4295-8ACC-A4C388165F99}"/>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VS SMOKING STATUS'!$A$5:$A$7</c:f>
              <c:strCache>
                <c:ptCount val="2"/>
                <c:pt idx="0">
                  <c:v>Female</c:v>
                </c:pt>
                <c:pt idx="1">
                  <c:v>Male</c:v>
                </c:pt>
              </c:strCache>
            </c:strRef>
          </c:cat>
          <c:val>
            <c:numRef>
              <c:f>'GENDER VS SMOKING STATUS'!$B$5:$B$7</c:f>
              <c:numCache>
                <c:formatCode>General</c:formatCode>
                <c:ptCount val="2"/>
                <c:pt idx="0">
                  <c:v>22</c:v>
                </c:pt>
                <c:pt idx="1">
                  <c:v>13</c:v>
                </c:pt>
              </c:numCache>
            </c:numRef>
          </c:val>
          <c:extLst>
            <c:ext xmlns:c16="http://schemas.microsoft.com/office/drawing/2014/chart" uri="{C3380CC4-5D6E-409C-BE32-E72D297353CC}">
              <c16:uniqueId val="{00000000-CB81-4295-8ACC-A4C388165F99}"/>
            </c:ext>
          </c:extLst>
        </c:ser>
        <c:ser>
          <c:idx val="1"/>
          <c:order val="1"/>
          <c:tx>
            <c:strRef>
              <c:f>'GENDER VS SMOKING STATUS'!$C$3:$C$4</c:f>
              <c:strCache>
                <c:ptCount val="1"/>
                <c:pt idx="0">
                  <c:v>Smoker</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CB81-4295-8ACC-A4C388165F99}"/>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4-CB81-4295-8ACC-A4C388165F99}"/>
              </c:ext>
            </c:extLst>
          </c:dPt>
          <c:dLbls>
            <c:dLbl>
              <c:idx val="0"/>
              <c:layout>
                <c:manualLayout>
                  <c:x val="6.8074255264727768E-2"/>
                  <c:y val="-8.3248684957556107E-2"/>
                </c:manualLayout>
              </c:layout>
              <c:tx>
                <c:rich>
                  <a:bodyPr/>
                  <a:lstStyle/>
                  <a:p>
                    <a:fld id="{B136E7CF-53E7-4051-901F-810E14D84C60}" type="SERIESNAME">
                      <a:rPr lang="en-US"/>
                      <a:pPr/>
                      <a:t>[SERIES NAME]</a:t>
                    </a:fld>
                    <a:r>
                      <a:rPr lang="en-US"/>
                      <a:t> </a:t>
                    </a:r>
                    <a:fld id="{1772DD82-AFAD-4764-876C-F859BE095C93}" type="PERCENTAGE">
                      <a:rPr lang="en-US"/>
                      <a:pPr/>
                      <a:t>[PERCENTAGE]</a:t>
                    </a:fld>
                    <a:endParaRPr lang="en-US"/>
                  </a:p>
                </c:rich>
              </c:tx>
              <c:showLegendKey val="0"/>
              <c:showVal val="0"/>
              <c:showCatName val="0"/>
              <c:showSerName val="1"/>
              <c:showPercent val="1"/>
              <c:showBubbleSize val="0"/>
              <c:extLst>
                <c:ext xmlns:c15="http://schemas.microsoft.com/office/drawing/2012/chart" uri="{CE6537A1-D6FC-4f65-9D91-7224C49458BB}">
                  <c15:layout>
                    <c:manualLayout>
                      <c:w val="0.17936926395670216"/>
                      <c:h val="0.11470410689978316"/>
                    </c:manualLayout>
                  </c15:layout>
                  <c15:dlblFieldTable/>
                  <c15:showDataLabelsRange val="0"/>
                </c:ext>
                <c:ext xmlns:c16="http://schemas.microsoft.com/office/drawing/2014/chart" uri="{C3380CC4-5D6E-409C-BE32-E72D297353CC}">
                  <c16:uniqueId val="{00000003-CB81-4295-8ACC-A4C388165F99}"/>
                </c:ext>
              </c:extLst>
            </c:dLbl>
            <c:dLbl>
              <c:idx val="1"/>
              <c:layout>
                <c:manualLayout>
                  <c:x val="3.3333333333333284E-2"/>
                  <c:y val="8.3333333333333162E-2"/>
                </c:manualLayout>
              </c:layout>
              <c:tx>
                <c:rich>
                  <a:bodyPr/>
                  <a:lstStyle/>
                  <a:p>
                    <a:fld id="{0EF33C98-B14C-43AE-9641-211CAAB6FC55}" type="SERIESNAME">
                      <a:rPr lang="en-US"/>
                      <a:pPr/>
                      <a:t>[SERIES NAME]</a:t>
                    </a:fld>
                    <a:r>
                      <a:rPr lang="en-US"/>
                      <a:t> </a:t>
                    </a:r>
                    <a:fld id="{588CC21C-BF4B-43C3-8DA4-4208A9F08EA2}" type="PERCENTAGE">
                      <a:rPr lang="en-US"/>
                      <a:pPr/>
                      <a:t>[PERCENTAGE]</a:t>
                    </a:fld>
                    <a:endParaRPr lang="en-US"/>
                  </a:p>
                </c:rich>
              </c:tx>
              <c:showLegendKey val="0"/>
              <c:showVal val="0"/>
              <c:showCatName val="0"/>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B81-4295-8ACC-A4C388165F99}"/>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VS SMOKING STATUS'!$A$5:$A$7</c:f>
              <c:strCache>
                <c:ptCount val="2"/>
                <c:pt idx="0">
                  <c:v>Female</c:v>
                </c:pt>
                <c:pt idx="1">
                  <c:v>Male</c:v>
                </c:pt>
              </c:strCache>
            </c:strRef>
          </c:cat>
          <c:val>
            <c:numRef>
              <c:f>'GENDER VS SMOKING STATUS'!$C$5:$C$7</c:f>
              <c:numCache>
                <c:formatCode>General</c:formatCode>
                <c:ptCount val="2"/>
                <c:pt idx="0">
                  <c:v>1</c:v>
                </c:pt>
                <c:pt idx="1">
                  <c:v>10</c:v>
                </c:pt>
              </c:numCache>
            </c:numRef>
          </c:val>
          <c:extLst>
            <c:ext xmlns:c16="http://schemas.microsoft.com/office/drawing/2014/chart" uri="{C3380CC4-5D6E-409C-BE32-E72D297353CC}">
              <c16:uniqueId val="{00000001-CB81-4295-8ACC-A4C388165F99}"/>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79000"/>
      </a:schemeClr>
    </a:solidFill>
    <a:ln w="28575" cap="flat" cmpd="sng" algn="ctr">
      <a:solidFill>
        <a:schemeClr val="bg1"/>
      </a:solidFill>
      <a:round/>
    </a:ln>
    <a:effectLst/>
  </c:spPr>
  <c:txPr>
    <a:bodyPr/>
    <a:lstStyle/>
    <a:p>
      <a:pPr>
        <a:defRPr>
          <a:solidFill>
            <a:schemeClr val="accent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[EXCEL PROJECT(AutoRecovered).xlsx]AVERAGE CHARGES BY NUMBER OF CH!PivotTable5</c:name>
    <c:fmtId val="0"/>
  </c:pivotSource>
  <c:chart>
    <c:title>
      <c:tx>
        <c:rich>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r>
              <a:rPr lang="en-US"/>
              <a:t>Average Charges By Number Of Childrens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hade val="58000"/>
            </a:schemeClr>
          </a:solidFill>
          <a:ln w="19050">
            <a:solidFill>
              <a:schemeClr val="lt1"/>
            </a:solidFill>
          </a:ln>
          <a:effectLst/>
        </c:spPr>
        <c:dLbl>
          <c:idx val="0"/>
          <c:layout>
            <c:manualLayout>
              <c:x val="1.2105424321959756E-2"/>
              <c:y val="5.9242640234976704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1364E61A-E6D5-4960-BBA6-B263C1348FBA}" type="CATEGORYNAME">
                  <a:rPr lang="en-US"/>
                  <a:pPr>
                    <a:defRPr/>
                  </a:pPr>
                  <a:t>[CATEGORY NAME]</a:t>
                </a:fld>
                <a:r>
                  <a:rPr lang="en-US"/>
                  <a:t>
</a:t>
                </a:r>
                <a:fld id="{AE38D76A-0269-4A87-BABC-7372CBE2034C}"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3">
              <a:shade val="86000"/>
            </a:schemeClr>
          </a:solidFill>
          <a:ln w="19050">
            <a:solidFill>
              <a:schemeClr val="lt1"/>
            </a:solidFill>
          </a:ln>
          <a:effectLst/>
        </c:spPr>
        <c:dLbl>
          <c:idx val="0"/>
          <c:layout>
            <c:manualLayout>
              <c:x val="-1.6683727034120736E-2"/>
              <c:y val="-6.2486326511737675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826EC2E0-6C16-4925-8FBD-C1170C727017}" type="CATEGORYNAME">
                  <a:rPr lang="en-US"/>
                  <a:pPr>
                    <a:defRPr/>
                  </a:pPr>
                  <a:t>[CATEGORY NAME]</a:t>
                </a:fld>
                <a:r>
                  <a:rPr lang="en-US"/>
                  <a:t>
</a:t>
                </a:r>
                <a:fld id="{FD40E6E3-5568-489E-9EA2-E5EB735C3F73}"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3">
              <a:tint val="58000"/>
            </a:schemeClr>
          </a:solidFill>
          <a:ln w="19050">
            <a:solidFill>
              <a:schemeClr val="lt1"/>
            </a:solidFill>
          </a:ln>
          <a:effectLst/>
        </c:spPr>
        <c:dLbl>
          <c:idx val="0"/>
          <c:layout>
            <c:manualLayout>
              <c:x val="1.7281277340332457E-3"/>
              <c:y val="-1.3202450544228752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362165BF-94B3-4001-A9A3-CD34D4145D57}" type="CATEGORYNAME">
                  <a:rPr lang="en-US"/>
                  <a:pPr>
                    <a:defRPr/>
                  </a:pPr>
                  <a:t>[CATEGORY NAME]</a:t>
                </a:fld>
                <a:r>
                  <a:rPr lang="en-US"/>
                  <a:t>
</a:t>
                </a:r>
                <a:fld id="{E1EF17DD-85E9-4FEE-A36B-4128E9F13CAD}"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3">
              <a:tint val="86000"/>
            </a:schemeClr>
          </a:solidFill>
          <a:ln w="19050">
            <a:solidFill>
              <a:schemeClr val="lt1"/>
            </a:solidFill>
          </a:ln>
          <a:effectLst/>
        </c:spPr>
        <c:dLbl>
          <c:idx val="0"/>
          <c:layout>
            <c:manualLayout>
              <c:x val="-3.0601706036745408E-2"/>
              <c:y val="-2.809291912629997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6988BF8E-1326-4F89-9553-71EE18064792}" type="CATEGORYNAME">
                  <a:rPr lang="en-US"/>
                  <a:pPr>
                    <a:defRPr/>
                  </a:pPr>
                  <a:t>[CATEGORY NAME]</a:t>
                </a:fld>
                <a:r>
                  <a:rPr lang="en-US"/>
                  <a:t>
</a:t>
                </a:r>
                <a:fld id="{F1A7C6E5-83A7-4AC5-8442-0B0BAB0EB385}"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'AVERAGE CHARGES BY NUMBER OF CH'!$B$3</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2-EBA8-4F0E-9266-1AAFDE8A3ED3}"/>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EBA8-4F0E-9266-1AAFDE8A3ED3}"/>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EBA8-4F0E-9266-1AAFDE8A3ED3}"/>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4-EBA8-4F0E-9266-1AAFDE8A3ED3}"/>
              </c:ext>
            </c:extLst>
          </c:dPt>
          <c:dLbls>
            <c:dLbl>
              <c:idx val="0"/>
              <c:layout>
                <c:manualLayout>
                  <c:x val="1.2105424321959756E-2"/>
                  <c:y val="5.9242640234976704E-2"/>
                </c:manualLayout>
              </c:layout>
              <c:tx>
                <c:rich>
                  <a:bodyPr/>
                  <a:lstStyle/>
                  <a:p>
                    <a:fld id="{1364E61A-E6D5-4960-BBA6-B263C1348FBA}" type="CATEGORYNAME">
                      <a:rPr lang="en-US"/>
                      <a:pPr/>
                      <a:t>[CATEGORY NAME]</a:t>
                    </a:fld>
                    <a:r>
                      <a:rPr lang="en-US"/>
                      <a:t>
</a:t>
                    </a:r>
                    <a:fld id="{AE38D76A-0269-4A87-BABC-7372CBE2034C}"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BA8-4F0E-9266-1AAFDE8A3ED3}"/>
                </c:ext>
              </c:extLst>
            </c:dLbl>
            <c:dLbl>
              <c:idx val="1"/>
              <c:layout>
                <c:manualLayout>
                  <c:x val="-1.6683727034120736E-2"/>
                  <c:y val="-6.2486326511737675E-2"/>
                </c:manualLayout>
              </c:layout>
              <c:tx>
                <c:rich>
                  <a:bodyPr/>
                  <a:lstStyle/>
                  <a:p>
                    <a:fld id="{826EC2E0-6C16-4925-8FBD-C1170C727017}" type="CATEGORYNAME">
                      <a:rPr lang="en-US"/>
                      <a:pPr/>
                      <a:t>[CATEGORY NAME]</a:t>
                    </a:fld>
                    <a:r>
                      <a:rPr lang="en-US"/>
                      <a:t>
</a:t>
                    </a:r>
                    <a:fld id="{FD40E6E3-5568-489E-9EA2-E5EB735C3F73}"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BA8-4F0E-9266-1AAFDE8A3ED3}"/>
                </c:ext>
              </c:extLst>
            </c:dLbl>
            <c:dLbl>
              <c:idx val="2"/>
              <c:layout>
                <c:manualLayout>
                  <c:x val="-3.0601706036745408E-2"/>
                  <c:y val="-2.8092919126299978E-2"/>
                </c:manualLayout>
              </c:layout>
              <c:tx>
                <c:rich>
                  <a:bodyPr/>
                  <a:lstStyle/>
                  <a:p>
                    <a:fld id="{6988BF8E-1326-4F89-9553-71EE18064792}" type="CATEGORYNAME">
                      <a:rPr lang="en-US"/>
                      <a:pPr/>
                      <a:t>[CATEGORY NAME]</a:t>
                    </a:fld>
                    <a:r>
                      <a:rPr lang="en-US"/>
                      <a:t>
</a:t>
                    </a:r>
                    <a:fld id="{F1A7C6E5-83A7-4AC5-8442-0B0BAB0EB385}"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BA8-4F0E-9266-1AAFDE8A3ED3}"/>
                </c:ext>
              </c:extLst>
            </c:dLbl>
            <c:dLbl>
              <c:idx val="3"/>
              <c:layout>
                <c:manualLayout>
                  <c:x val="1.7281277340332457E-3"/>
                  <c:y val="-1.3202450544228752E-2"/>
                </c:manualLayout>
              </c:layout>
              <c:tx>
                <c:rich>
                  <a:bodyPr/>
                  <a:lstStyle/>
                  <a:p>
                    <a:fld id="{362165BF-94B3-4001-A9A3-CD34D4145D57}" type="CATEGORYNAME">
                      <a:rPr lang="en-US"/>
                      <a:pPr/>
                      <a:t>[CATEGORY NAME]</a:t>
                    </a:fld>
                    <a:r>
                      <a:rPr lang="en-US"/>
                      <a:t>
</a:t>
                    </a:r>
                    <a:fld id="{E1EF17DD-85E9-4FEE-A36B-4128E9F13CAD}"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BA8-4F0E-9266-1AAFDE8A3ED3}"/>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'AVERAGE CHARGES BY NUMBER OF CH'!$A$4:$A$8</c:f>
              <c:strCache>
                <c:ptCount val="4"/>
                <c:pt idx="0">
                  <c:v>0</c:v>
                </c:pt>
                <c:pt idx="1">
                  <c:v>1</c:v>
                </c:pt>
                <c:pt idx="2">
                  <c:v>2</c:v>
                </c:pt>
                <c:pt idx="3">
                  <c:v>3</c:v>
                </c:pt>
              </c:strCache>
            </c:strRef>
          </c:cat>
          <c:val>
            <c:numRef>
              <c:f>'AVERAGE CHARGES BY NUMBER OF CH'!$B$4:$B$8</c:f>
              <c:numCache>
                <c:formatCode>General</c:formatCode>
                <c:ptCount val="4"/>
                <c:pt idx="0">
                  <c:v>15120.833333333334</c:v>
                </c:pt>
                <c:pt idx="1">
                  <c:v>12050</c:v>
                </c:pt>
                <c:pt idx="2">
                  <c:v>21805.384615384617</c:v>
                </c:pt>
                <c:pt idx="3">
                  <c:v>24177</c:v>
                </c:pt>
              </c:numCache>
            </c:numRef>
          </c:val>
          <c:extLst>
            <c:ext xmlns:c16="http://schemas.microsoft.com/office/drawing/2014/chart" uri="{C3380CC4-5D6E-409C-BE32-E72D297353CC}">
              <c16:uniqueId val="{00000000-EBA8-4F0E-9266-1AAFDE8A3ED3}"/>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47625" cap="flat" cmpd="sng" algn="ctr">
      <a:solidFill>
        <a:schemeClr val="bg1"/>
      </a:solidFill>
      <a:round/>
    </a:ln>
    <a:effectLst/>
  </c:spPr>
  <c:txPr>
    <a:bodyPr/>
    <a:lstStyle/>
    <a:p>
      <a:pPr>
        <a:defRPr>
          <a:solidFill>
            <a:schemeClr val="accent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PROJECT(AutoRecovered).xlsx]AVERAGE BMI AND AGE BY REGION!PivotTable1</c:name>
    <c:fmtId val="0"/>
  </c:pivotSource>
  <c:chart>
    <c:title>
      <c:tx>
        <c:rich>
          <a:bodyPr rot="0" spcFirstLastPara="1" vertOverflow="ellipsis" vert="horz" wrap="square" anchor="ctr" anchorCtr="1"/>
          <a:lstStyle/>
          <a:p>
            <a:pPr>
              <a:defRPr sz="1400" b="0" i="0" u="none" strike="noStrike" kern="1200" spc="0" baseline="0">
                <a:ln>
                  <a:solidFill>
                    <a:schemeClr val="accent3"/>
                  </a:solidFill>
                </a:ln>
                <a:solidFill>
                  <a:schemeClr val="accent3"/>
                </a:solidFill>
                <a:latin typeface="+mn-lt"/>
                <a:ea typeface="+mn-ea"/>
                <a:cs typeface="+mn-cs"/>
              </a:defRPr>
            </a:pPr>
            <a:r>
              <a:rPr lang="en-IN"/>
              <a:t>Average BMI and Age By 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3"/>
                </a:solidFill>
              </a:ln>
              <a:solidFill>
                <a:schemeClr val="accent3"/>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35956203415085E-2"/>
          <c:y val="0.24363897872140983"/>
          <c:w val="0.92202577180258627"/>
          <c:h val="0.51917122188238862"/>
        </c:manualLayout>
      </c:layout>
      <c:lineChart>
        <c:grouping val="standard"/>
        <c:varyColors val="0"/>
        <c:ser>
          <c:idx val="0"/>
          <c:order val="0"/>
          <c:tx>
            <c:strRef>
              <c:f>'AVERAGE BMI AND AGE BY REGION'!$B$3</c:f>
              <c:strCache>
                <c:ptCount val="1"/>
                <c:pt idx="0">
                  <c:v>Average of BMI</c:v>
                </c:pt>
              </c:strCache>
            </c:strRef>
          </c:tx>
          <c:spPr>
            <a:ln w="28575" cap="rnd">
              <a:solidFill>
                <a:schemeClr val="accent3">
                  <a:shade val="76000"/>
                </a:schemeClr>
              </a:solidFill>
              <a:round/>
            </a:ln>
            <a:effectLst/>
          </c:spPr>
          <c:marker>
            <c:symbol val="none"/>
          </c:marker>
          <c:cat>
            <c:strRef>
              <c:f>'AVERAGE BMI AND AGE BY REGION'!$A$4:$A$24</c:f>
              <c:strCache>
                <c:ptCount val="20"/>
                <c:pt idx="0">
                  <c:v>Albuquerque</c:v>
                </c:pt>
                <c:pt idx="1">
                  <c:v>Austin</c:v>
                </c:pt>
                <c:pt idx="2">
                  <c:v>Baltimore</c:v>
                </c:pt>
                <c:pt idx="3">
                  <c:v>Chicago</c:v>
                </c:pt>
                <c:pt idx="4">
                  <c:v>Columbus</c:v>
                </c:pt>
                <c:pt idx="5">
                  <c:v>Dallas</c:v>
                </c:pt>
                <c:pt idx="6">
                  <c:v>Denver</c:v>
                </c:pt>
                <c:pt idx="7">
                  <c:v>Fresno</c:v>
                </c:pt>
                <c:pt idx="8">
                  <c:v>Kansas City</c:v>
                </c:pt>
                <c:pt idx="9">
                  <c:v>Las Vegas</c:v>
                </c:pt>
                <c:pt idx="10">
                  <c:v>Long Beach</c:v>
                </c:pt>
                <c:pt idx="11">
                  <c:v>Mesa</c:v>
                </c:pt>
                <c:pt idx="12">
                  <c:v>Nashville</c:v>
                </c:pt>
                <c:pt idx="13">
                  <c:v>Oakland</c:v>
                </c:pt>
                <c:pt idx="14">
                  <c:v>Philadelphia</c:v>
                </c:pt>
                <c:pt idx="15">
                  <c:v>San Francisco</c:v>
                </c:pt>
                <c:pt idx="16">
                  <c:v>Seattle</c:v>
                </c:pt>
                <c:pt idx="17">
                  <c:v>Tampa</c:v>
                </c:pt>
                <c:pt idx="18">
                  <c:v>Washington</c:v>
                </c:pt>
                <c:pt idx="19">
                  <c:v>Wichita</c:v>
                </c:pt>
              </c:strCache>
            </c:strRef>
          </c:cat>
          <c:val>
            <c:numRef>
              <c:f>'AVERAGE BMI AND AGE BY REGION'!$B$4:$B$24</c:f>
              <c:numCache>
                <c:formatCode>General</c:formatCode>
                <c:ptCount val="20"/>
                <c:pt idx="0">
                  <c:v>32.5</c:v>
                </c:pt>
                <c:pt idx="1">
                  <c:v>30.5</c:v>
                </c:pt>
                <c:pt idx="2">
                  <c:v>31.8</c:v>
                </c:pt>
                <c:pt idx="3">
                  <c:v>31.2</c:v>
                </c:pt>
                <c:pt idx="4">
                  <c:v>29.8</c:v>
                </c:pt>
                <c:pt idx="5">
                  <c:v>33</c:v>
                </c:pt>
                <c:pt idx="6">
                  <c:v>34.200000000000003</c:v>
                </c:pt>
                <c:pt idx="7">
                  <c:v>30.3</c:v>
                </c:pt>
                <c:pt idx="8">
                  <c:v>34.700000000000003</c:v>
                </c:pt>
                <c:pt idx="9">
                  <c:v>35.1</c:v>
                </c:pt>
                <c:pt idx="10">
                  <c:v>31</c:v>
                </c:pt>
                <c:pt idx="11">
                  <c:v>33.5</c:v>
                </c:pt>
                <c:pt idx="12">
                  <c:v>33.799999999999997</c:v>
                </c:pt>
                <c:pt idx="13">
                  <c:v>32.799999999999997</c:v>
                </c:pt>
                <c:pt idx="14">
                  <c:v>29.9</c:v>
                </c:pt>
                <c:pt idx="15">
                  <c:v>32.700000000000003</c:v>
                </c:pt>
                <c:pt idx="16">
                  <c:v>31.5</c:v>
                </c:pt>
                <c:pt idx="17">
                  <c:v>35.299999999999997</c:v>
                </c:pt>
                <c:pt idx="18">
                  <c:v>29.6</c:v>
                </c:pt>
                <c:pt idx="19">
                  <c:v>31.7</c:v>
                </c:pt>
              </c:numCache>
            </c:numRef>
          </c:val>
          <c:smooth val="0"/>
          <c:extLst>
            <c:ext xmlns:c16="http://schemas.microsoft.com/office/drawing/2014/chart" uri="{C3380CC4-5D6E-409C-BE32-E72D297353CC}">
              <c16:uniqueId val="{00000000-3F32-4C02-A41C-BA4403083A83}"/>
            </c:ext>
          </c:extLst>
        </c:ser>
        <c:ser>
          <c:idx val="1"/>
          <c:order val="1"/>
          <c:tx>
            <c:strRef>
              <c:f>'AVERAGE BMI AND AGE BY REGION'!$C$3</c:f>
              <c:strCache>
                <c:ptCount val="1"/>
                <c:pt idx="0">
                  <c:v>Average of Age</c:v>
                </c:pt>
              </c:strCache>
            </c:strRef>
          </c:tx>
          <c:spPr>
            <a:ln w="28575" cap="rnd">
              <a:solidFill>
                <a:schemeClr val="accent3">
                  <a:tint val="77000"/>
                </a:schemeClr>
              </a:solidFill>
              <a:round/>
            </a:ln>
            <a:effectLst/>
          </c:spPr>
          <c:marker>
            <c:symbol val="none"/>
          </c:marker>
          <c:cat>
            <c:strRef>
              <c:f>'AVERAGE BMI AND AGE BY REGION'!$A$4:$A$24</c:f>
              <c:strCache>
                <c:ptCount val="20"/>
                <c:pt idx="0">
                  <c:v>Albuquerque</c:v>
                </c:pt>
                <c:pt idx="1">
                  <c:v>Austin</c:v>
                </c:pt>
                <c:pt idx="2">
                  <c:v>Baltimore</c:v>
                </c:pt>
                <c:pt idx="3">
                  <c:v>Chicago</c:v>
                </c:pt>
                <c:pt idx="4">
                  <c:v>Columbus</c:v>
                </c:pt>
                <c:pt idx="5">
                  <c:v>Dallas</c:v>
                </c:pt>
                <c:pt idx="6">
                  <c:v>Denver</c:v>
                </c:pt>
                <c:pt idx="7">
                  <c:v>Fresno</c:v>
                </c:pt>
                <c:pt idx="8">
                  <c:v>Kansas City</c:v>
                </c:pt>
                <c:pt idx="9">
                  <c:v>Las Vegas</c:v>
                </c:pt>
                <c:pt idx="10">
                  <c:v>Long Beach</c:v>
                </c:pt>
                <c:pt idx="11">
                  <c:v>Mesa</c:v>
                </c:pt>
                <c:pt idx="12">
                  <c:v>Nashville</c:v>
                </c:pt>
                <c:pt idx="13">
                  <c:v>Oakland</c:v>
                </c:pt>
                <c:pt idx="14">
                  <c:v>Philadelphia</c:v>
                </c:pt>
                <c:pt idx="15">
                  <c:v>San Francisco</c:v>
                </c:pt>
                <c:pt idx="16">
                  <c:v>Seattle</c:v>
                </c:pt>
                <c:pt idx="17">
                  <c:v>Tampa</c:v>
                </c:pt>
                <c:pt idx="18">
                  <c:v>Washington</c:v>
                </c:pt>
                <c:pt idx="19">
                  <c:v>Wichita</c:v>
                </c:pt>
              </c:strCache>
            </c:strRef>
          </c:cat>
          <c:val>
            <c:numRef>
              <c:f>'AVERAGE BMI AND AGE BY REGION'!$C$4:$C$24</c:f>
              <c:numCache>
                <c:formatCode>General</c:formatCode>
                <c:ptCount val="20"/>
                <c:pt idx="0">
                  <c:v>47</c:v>
                </c:pt>
                <c:pt idx="1">
                  <c:v>40</c:v>
                </c:pt>
                <c:pt idx="2">
                  <c:v>50</c:v>
                </c:pt>
                <c:pt idx="3">
                  <c:v>50</c:v>
                </c:pt>
                <c:pt idx="4">
                  <c:v>43</c:v>
                </c:pt>
                <c:pt idx="5">
                  <c:v>47</c:v>
                </c:pt>
                <c:pt idx="6">
                  <c:v>46</c:v>
                </c:pt>
                <c:pt idx="7">
                  <c:v>45</c:v>
                </c:pt>
                <c:pt idx="8">
                  <c:v>51</c:v>
                </c:pt>
                <c:pt idx="9">
                  <c:v>52</c:v>
                </c:pt>
                <c:pt idx="10">
                  <c:v>46</c:v>
                </c:pt>
                <c:pt idx="11">
                  <c:v>48</c:v>
                </c:pt>
                <c:pt idx="12">
                  <c:v>49</c:v>
                </c:pt>
                <c:pt idx="13">
                  <c:v>49</c:v>
                </c:pt>
                <c:pt idx="14">
                  <c:v>45</c:v>
                </c:pt>
                <c:pt idx="15">
                  <c:v>48</c:v>
                </c:pt>
                <c:pt idx="16">
                  <c:v>41</c:v>
                </c:pt>
                <c:pt idx="17">
                  <c:v>53</c:v>
                </c:pt>
                <c:pt idx="18">
                  <c:v>44</c:v>
                </c:pt>
                <c:pt idx="19">
                  <c:v>48</c:v>
                </c:pt>
              </c:numCache>
            </c:numRef>
          </c:val>
          <c:smooth val="0"/>
          <c:extLst>
            <c:ext xmlns:c16="http://schemas.microsoft.com/office/drawing/2014/chart" uri="{C3380CC4-5D6E-409C-BE32-E72D297353CC}">
              <c16:uniqueId val="{00000060-3F32-4C02-A41C-BA4403083A83}"/>
            </c:ext>
          </c:extLst>
        </c:ser>
        <c:dLbls>
          <c:showLegendKey val="0"/>
          <c:showVal val="0"/>
          <c:showCatName val="0"/>
          <c:showSerName val="0"/>
          <c:showPercent val="0"/>
          <c:showBubbleSize val="0"/>
        </c:dLbls>
        <c:smooth val="0"/>
        <c:axId val="1191399359"/>
        <c:axId val="1191401279"/>
      </c:lineChart>
      <c:catAx>
        <c:axId val="119139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3"/>
                  </a:solidFill>
                </a:ln>
                <a:solidFill>
                  <a:schemeClr val="accent3"/>
                </a:solidFill>
                <a:latin typeface="+mn-lt"/>
                <a:ea typeface="+mn-ea"/>
                <a:cs typeface="+mn-cs"/>
              </a:defRPr>
            </a:pPr>
            <a:endParaRPr lang="en-US"/>
          </a:p>
        </c:txPr>
        <c:crossAx val="1191401279"/>
        <c:crosses val="autoZero"/>
        <c:auto val="1"/>
        <c:lblAlgn val="ctr"/>
        <c:lblOffset val="100"/>
        <c:noMultiLvlLbl val="0"/>
      </c:catAx>
      <c:valAx>
        <c:axId val="1191401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3"/>
                  </a:solidFill>
                </a:ln>
                <a:solidFill>
                  <a:schemeClr val="accent3"/>
                </a:solidFill>
                <a:latin typeface="+mn-lt"/>
                <a:ea typeface="+mn-ea"/>
                <a:cs typeface="+mn-cs"/>
              </a:defRPr>
            </a:pPr>
            <a:endParaRPr lang="en-US"/>
          </a:p>
        </c:txPr>
        <c:crossAx val="11913993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solidFill>
                  <a:schemeClr val="accent3"/>
                </a:solidFill>
              </a:ln>
              <a:solidFill>
                <a:schemeClr val="accent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ln>
            <a:solidFill>
              <a:schemeClr val="accent3"/>
            </a:solidFill>
          </a:ln>
          <a:solidFill>
            <a:schemeClr val="accent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[EXCEL PROJECT(AutoRecovered).xlsx]GENDER WISE BMI SPREAD!PivotTable3</c:name>
    <c:fmtId val="17"/>
  </c:pivotSource>
  <c:chart>
    <c:title>
      <c:tx>
        <c:rich>
          <a:bodyPr rot="0" spcFirstLastPara="1" vertOverflow="ellipsis" vert="horz" wrap="square" anchor="ctr" anchorCtr="1"/>
          <a:lstStyle/>
          <a:p>
            <a:pPr>
              <a:defRPr sz="1400" b="1" i="0" u="none" strike="noStrike" kern="1200" spc="0" baseline="0">
                <a:solidFill>
                  <a:schemeClr val="bg1">
                    <a:lumMod val="75000"/>
                  </a:schemeClr>
                </a:solidFill>
                <a:latin typeface="+mn-lt"/>
                <a:ea typeface="+mn-ea"/>
                <a:cs typeface="+mn-cs"/>
              </a:defRPr>
            </a:pPr>
            <a:r>
              <a:rPr lang="en-IN">
                <a:solidFill>
                  <a:schemeClr val="accent3"/>
                </a:solidFill>
              </a:rPr>
              <a:t>Gender</a:t>
            </a:r>
            <a:r>
              <a:rPr lang="en-IN" baseline="0">
                <a:solidFill>
                  <a:schemeClr val="accent3"/>
                </a:solidFill>
              </a:rPr>
              <a:t>-wise BMI Spread</a:t>
            </a:r>
            <a:endParaRPr lang="en-IN">
              <a:solidFill>
                <a:schemeClr val="accent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lumMod val="7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'GENDER WISE BMI SPREAD'!$B$3:$B$4</c:f>
              <c:strCache>
                <c:ptCount val="1"/>
                <c:pt idx="0">
                  <c:v>Normal</c:v>
                </c:pt>
              </c:strCache>
            </c:strRef>
          </c:tx>
          <c:spPr>
            <a:solidFill>
              <a:schemeClr val="accent3">
                <a:shade val="65000"/>
              </a:schemeClr>
            </a:solidFill>
            <a:ln>
              <a:noFill/>
            </a:ln>
            <a:effectLst/>
          </c:spPr>
          <c:invertIfNegative val="0"/>
          <c:cat>
            <c:strRef>
              <c:f>'GENDER WISE BMI SPREAD'!$A$5:$A$7</c:f>
              <c:strCache>
                <c:ptCount val="2"/>
                <c:pt idx="0">
                  <c:v>Female</c:v>
                </c:pt>
                <c:pt idx="1">
                  <c:v>Male</c:v>
                </c:pt>
              </c:strCache>
            </c:strRef>
          </c:cat>
          <c:val>
            <c:numRef>
              <c:f>'GENDER WISE BMI SPREAD'!$B$5:$B$7</c:f>
              <c:numCache>
                <c:formatCode>General</c:formatCode>
                <c:ptCount val="2"/>
                <c:pt idx="0">
                  <c:v>4</c:v>
                </c:pt>
              </c:numCache>
            </c:numRef>
          </c:val>
          <c:extLst>
            <c:ext xmlns:c16="http://schemas.microsoft.com/office/drawing/2014/chart" uri="{C3380CC4-5D6E-409C-BE32-E72D297353CC}">
              <c16:uniqueId val="{00000000-47BB-409C-B076-E375C79BA32A}"/>
            </c:ext>
          </c:extLst>
        </c:ser>
        <c:ser>
          <c:idx val="1"/>
          <c:order val="1"/>
          <c:tx>
            <c:strRef>
              <c:f>'GENDER WISE BMI SPREAD'!$C$3:$C$4</c:f>
              <c:strCache>
                <c:ptCount val="1"/>
                <c:pt idx="0">
                  <c:v>Obese</c:v>
                </c:pt>
              </c:strCache>
            </c:strRef>
          </c:tx>
          <c:spPr>
            <a:solidFill>
              <a:schemeClr val="accent3"/>
            </a:solidFill>
            <a:ln>
              <a:noFill/>
            </a:ln>
            <a:effectLst/>
          </c:spPr>
          <c:invertIfNegative val="0"/>
          <c:cat>
            <c:strRef>
              <c:f>'GENDER WISE BMI SPREAD'!$A$5:$A$7</c:f>
              <c:strCache>
                <c:ptCount val="2"/>
                <c:pt idx="0">
                  <c:v>Female</c:v>
                </c:pt>
                <c:pt idx="1">
                  <c:v>Male</c:v>
                </c:pt>
              </c:strCache>
            </c:strRef>
          </c:cat>
          <c:val>
            <c:numRef>
              <c:f>'GENDER WISE BMI SPREAD'!$C$5:$C$7</c:f>
              <c:numCache>
                <c:formatCode>General</c:formatCode>
                <c:ptCount val="2"/>
                <c:pt idx="0">
                  <c:v>1</c:v>
                </c:pt>
                <c:pt idx="1">
                  <c:v>16</c:v>
                </c:pt>
              </c:numCache>
            </c:numRef>
          </c:val>
          <c:extLst>
            <c:ext xmlns:c16="http://schemas.microsoft.com/office/drawing/2014/chart" uri="{C3380CC4-5D6E-409C-BE32-E72D297353CC}">
              <c16:uniqueId val="{00000001-47BB-409C-B076-E375C79BA32A}"/>
            </c:ext>
          </c:extLst>
        </c:ser>
        <c:ser>
          <c:idx val="2"/>
          <c:order val="2"/>
          <c:tx>
            <c:strRef>
              <c:f>'GENDER WISE BMI SPREAD'!$D$3:$D$4</c:f>
              <c:strCache>
                <c:ptCount val="1"/>
                <c:pt idx="0">
                  <c:v>Overweight</c:v>
                </c:pt>
              </c:strCache>
            </c:strRef>
          </c:tx>
          <c:spPr>
            <a:solidFill>
              <a:schemeClr val="accent3">
                <a:tint val="65000"/>
              </a:schemeClr>
            </a:solidFill>
            <a:ln>
              <a:noFill/>
            </a:ln>
            <a:effectLst/>
          </c:spPr>
          <c:invertIfNegative val="0"/>
          <c:cat>
            <c:strRef>
              <c:f>'GENDER WISE BMI SPREAD'!$A$5:$A$7</c:f>
              <c:strCache>
                <c:ptCount val="2"/>
                <c:pt idx="0">
                  <c:v>Female</c:v>
                </c:pt>
                <c:pt idx="1">
                  <c:v>Male</c:v>
                </c:pt>
              </c:strCache>
            </c:strRef>
          </c:cat>
          <c:val>
            <c:numRef>
              <c:f>'GENDER WISE BMI SPREAD'!$D$5:$D$7</c:f>
              <c:numCache>
                <c:formatCode>General</c:formatCode>
                <c:ptCount val="2"/>
                <c:pt idx="0">
                  <c:v>18</c:v>
                </c:pt>
                <c:pt idx="1">
                  <c:v>7</c:v>
                </c:pt>
              </c:numCache>
            </c:numRef>
          </c:val>
          <c:extLst>
            <c:ext xmlns:c16="http://schemas.microsoft.com/office/drawing/2014/chart" uri="{C3380CC4-5D6E-409C-BE32-E72D297353CC}">
              <c16:uniqueId val="{00000002-47BB-409C-B076-E375C79BA32A}"/>
            </c:ext>
          </c:extLst>
        </c:ser>
        <c:dLbls>
          <c:showLegendKey val="0"/>
          <c:showVal val="0"/>
          <c:showCatName val="0"/>
          <c:showSerName val="0"/>
          <c:showPercent val="0"/>
          <c:showBubbleSize val="0"/>
        </c:dLbls>
        <c:gapWidth val="150"/>
        <c:overlap val="100"/>
        <c:axId val="2101698479"/>
        <c:axId val="2101714799"/>
      </c:barChart>
      <c:catAx>
        <c:axId val="210169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solidFill>
                <a:latin typeface="+mn-lt"/>
                <a:ea typeface="+mn-ea"/>
                <a:cs typeface="+mn-cs"/>
              </a:defRPr>
            </a:pPr>
            <a:endParaRPr lang="en-US"/>
          </a:p>
        </c:txPr>
        <c:crossAx val="2101714799"/>
        <c:crosses val="autoZero"/>
        <c:auto val="1"/>
        <c:lblAlgn val="ctr"/>
        <c:lblOffset val="100"/>
        <c:noMultiLvlLbl val="0"/>
      </c:catAx>
      <c:valAx>
        <c:axId val="2101714799"/>
        <c:scaling>
          <c:orientation val="minMax"/>
        </c:scaling>
        <c:delete val="0"/>
        <c:axPos val="l"/>
        <c:numFmt formatCode="0%" sourceLinked="1"/>
        <c:majorTickMark val="none"/>
        <c:minorTickMark val="none"/>
        <c:tickLblPos val="nextTo"/>
        <c:spPr>
          <a:noFill/>
          <a:ln>
            <a:noFill/>
          </a:ln>
          <a:effectLst>
            <a:glow rad="127000">
              <a:schemeClr val="tx1"/>
            </a:glow>
          </a:effectLst>
        </c:spPr>
        <c:txPr>
          <a:bodyPr rot="-60000000" spcFirstLastPara="1" vertOverflow="ellipsis" vert="horz" wrap="square" anchor="ctr" anchorCtr="1"/>
          <a:lstStyle/>
          <a:p>
            <a:pPr>
              <a:defRPr sz="900" b="1" i="0" u="none" strike="noStrike" kern="1200" baseline="0">
                <a:solidFill>
                  <a:schemeClr val="accent3"/>
                </a:solidFill>
                <a:latin typeface="+mn-lt"/>
                <a:ea typeface="+mn-ea"/>
                <a:cs typeface="+mn-cs"/>
              </a:defRPr>
            </a:pPr>
            <a:endParaRPr lang="en-US"/>
          </a:p>
        </c:txPr>
        <c:crossAx val="2101698479"/>
        <c:crosses val="autoZero"/>
        <c:crossBetween val="between"/>
      </c:valAx>
      <c:spPr>
        <a:noFill/>
        <a:ln>
          <a:noFill/>
        </a:ln>
        <a:effectLst/>
      </c:spPr>
    </c:plotArea>
    <c:legend>
      <c:legendPos val="r"/>
      <c:overlay val="0"/>
      <c:spPr>
        <a:solidFill>
          <a:schemeClr val="bg1"/>
        </a:solidFill>
        <a:ln>
          <a:solidFill>
            <a:schemeClr val="bg1"/>
          </a:solidFill>
        </a:ln>
        <a:effectLst/>
      </c:spPr>
      <c:txPr>
        <a:bodyPr rot="0" spcFirstLastPara="1" vertOverflow="ellipsis" vert="horz" wrap="square" anchor="ctr" anchorCtr="1"/>
        <a:lstStyle/>
        <a:p>
          <a:pPr>
            <a:defRPr sz="900" b="1" i="0" u="none" strike="noStrike" kern="1200" baseline="0">
              <a:solidFill>
                <a:schemeClr val="accent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0" cap="rnd" cmpd="sng" algn="ctr">
      <a:solidFill>
        <a:schemeClr val="tx1"/>
      </a:solidFill>
      <a:prstDash val="solid"/>
      <a:round/>
    </a:ln>
    <a:effectLst/>
  </c:spPr>
  <c:txPr>
    <a:bodyPr/>
    <a:lstStyle/>
    <a:p>
      <a:pPr>
        <a:defRPr b="1">
          <a:solidFill>
            <a:schemeClr val="bg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[EXCEL PROJECT(AutoRecovered).xlsx]GENDER VS SMOKING STATUS!PivotTable4</c:name>
    <c:fmtId val="22"/>
  </c:pivotSource>
  <c:chart>
    <c:title>
      <c:tx>
        <c:rich>
          <a:bodyPr rot="0" spcFirstLastPara="1" vertOverflow="ellipsis" vert="horz" wrap="square" anchor="ctr" anchorCtr="1"/>
          <a:lstStyle/>
          <a:p>
            <a:pPr algn="ctr">
              <a:defRPr sz="1400" b="0" i="0" u="none" strike="noStrike" kern="1200" spc="0" baseline="0">
                <a:solidFill>
                  <a:schemeClr val="accent3"/>
                </a:solidFill>
                <a:latin typeface="+mn-lt"/>
                <a:ea typeface="+mn-ea"/>
                <a:cs typeface="+mn-cs"/>
              </a:defRPr>
            </a:pPr>
            <a:r>
              <a:rPr lang="en-IN"/>
              <a:t>Gender Vs Smoking Status</a:t>
            </a:r>
          </a:p>
        </c:rich>
      </c:tx>
      <c:layout>
        <c:manualLayout>
          <c:xMode val="edge"/>
          <c:yMode val="edge"/>
          <c:x val="0.22878022953789182"/>
          <c:y val="1.470145629407700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accent3"/>
              </a:solidFill>
              <a:latin typeface="+mn-lt"/>
              <a:ea typeface="+mn-ea"/>
              <a:cs typeface="+mn-cs"/>
            </a:defRPr>
          </a:pPr>
          <a:endParaRPr lang="en-IN"/>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6.8074255264727768E-2"/>
              <c:y val="-8.324868495755610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B136E7CF-53E7-4051-901F-810E14D84C60}" type="SERIESNAME">
                  <a:rPr lang="en-US"/>
                  <a:pPr>
                    <a:defRPr sz="900" b="0" i="0" u="none" strike="noStrike" kern="1200" baseline="0">
                      <a:solidFill>
                        <a:schemeClr val="accent3"/>
                      </a:solidFill>
                      <a:latin typeface="+mn-lt"/>
                      <a:ea typeface="+mn-ea"/>
                      <a:cs typeface="+mn-cs"/>
                    </a:defRPr>
                  </a:pPr>
                  <a:t>[SERIES NAME]</a:t>
                </a:fld>
                <a:r>
                  <a:rPr lang="en-US"/>
                  <a:t> </a:t>
                </a:r>
                <a:fld id="{1772DD82-AFAD-4764-876C-F859BE095C93}"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36926395670216"/>
                  <c:h val="0.11470410689978316"/>
                </c:manualLayout>
              </c15:layout>
              <c15:dlblFieldTable/>
              <c15:showDataLabelsRange val="0"/>
            </c:ext>
          </c:extLst>
        </c:dLbl>
      </c:pivotFmt>
      <c:pivotFmt>
        <c:idx val="3"/>
        <c:spPr>
          <a:solidFill>
            <a:schemeClr val="accent3"/>
          </a:solidFill>
          <a:ln w="19050">
            <a:solidFill>
              <a:schemeClr val="lt1"/>
            </a:solidFill>
          </a:ln>
          <a:effectLst/>
        </c:spPr>
        <c:dLbl>
          <c:idx val="0"/>
          <c:layout>
            <c:manualLayout>
              <c:x val="3.3333333333333284E-2"/>
              <c:y val="8.3333333333333162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0EF33C98-B14C-43AE-9641-211CAAB6FC55}" type="SERIESNAME">
                  <a:rPr lang="en-US"/>
                  <a:pPr>
                    <a:defRPr sz="900" b="0" i="0" u="none" strike="noStrike" kern="1200" baseline="0">
                      <a:solidFill>
                        <a:schemeClr val="accent3"/>
                      </a:solidFill>
                      <a:latin typeface="+mn-lt"/>
                      <a:ea typeface="+mn-ea"/>
                      <a:cs typeface="+mn-cs"/>
                    </a:defRPr>
                  </a:pPr>
                  <a:t>[SERIES NAME]</a:t>
                </a:fld>
                <a:r>
                  <a:rPr lang="en-US"/>
                  <a:t> </a:t>
                </a:r>
                <a:fld id="{588CC21C-BF4B-43C3-8DA4-4208A9F08EA2}"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3"/>
          </a:solidFill>
          <a:ln w="19050">
            <a:solidFill>
              <a:schemeClr val="lt1"/>
            </a:solidFill>
          </a:ln>
          <a:effectLst/>
        </c:spPr>
        <c:dLbl>
          <c:idx val="0"/>
          <c:layout>
            <c:manualLayout>
              <c:x val="-7.5551044706371487E-2"/>
              <c:y val="-5.899842160705368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47935AB4-81B1-4523-8B89-B317A7BC6D5D}" type="SERIESNAME">
                  <a:rPr lang="en-US"/>
                  <a:pPr>
                    <a:defRPr sz="900" b="0" i="0" u="none" strike="noStrike" kern="1200" baseline="0">
                      <a:solidFill>
                        <a:schemeClr val="accent3"/>
                      </a:solidFill>
                      <a:latin typeface="+mn-lt"/>
                      <a:ea typeface="+mn-ea"/>
                      <a:cs typeface="+mn-cs"/>
                    </a:defRPr>
                  </a:pPr>
                  <a:t>[SERIES NAME]</a:t>
                </a:fld>
                <a:r>
                  <a:rPr lang="en-US"/>
                  <a:t> 63%</a:t>
                </a:r>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76909424992716"/>
                  <c:h val="0.15485736321164487"/>
                </c:manualLayout>
              </c15:layout>
              <c15:dlblFieldTable/>
              <c15:showDataLabelsRange val="0"/>
            </c:ext>
          </c:extLst>
        </c:dLbl>
      </c:pivotFmt>
      <c:pivotFmt>
        <c:idx val="5"/>
        <c:spPr>
          <a:solidFill>
            <a:schemeClr val="accent3"/>
          </a:solidFill>
          <a:ln w="19050">
            <a:solidFill>
              <a:schemeClr val="lt1"/>
            </a:solidFill>
          </a:ln>
          <a:effectLst/>
        </c:spPr>
        <c:dLbl>
          <c:idx val="0"/>
          <c:layout>
            <c:manualLayout>
              <c:x val="6.825317603965958E-2"/>
              <c:y val="2.7996381495694049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0B214A66-B703-4B84-A62B-183FE23CC8B7}" type="SERIESNAME">
                  <a:rPr lang="en-US"/>
                  <a:pPr>
                    <a:defRPr sz="900" b="0" i="0" u="none" strike="noStrike" kern="1200" baseline="0">
                      <a:solidFill>
                        <a:schemeClr val="accent3"/>
                      </a:solidFill>
                      <a:latin typeface="+mn-lt"/>
                      <a:ea typeface="+mn-ea"/>
                      <a:cs typeface="+mn-cs"/>
                    </a:defRPr>
                  </a:pPr>
                  <a:t>[SERIES NAME]</a:t>
                </a:fld>
                <a:r>
                  <a:rPr lang="en-US"/>
                  <a:t> </a:t>
                </a:r>
                <a:fld id="{1BA1856D-E98C-42B7-B1EE-58A00558435A}"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88855009215752"/>
                  <c:h val="0.15355215572925812"/>
                </c:manualLayout>
              </c15:layout>
              <c15:dlblFieldTable/>
              <c15:showDataLabelsRange val="0"/>
            </c:ext>
          </c:extLst>
        </c:dLbl>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solidFill>
          <a:ln w="19050">
            <a:solidFill>
              <a:schemeClr val="lt1"/>
            </a:solidFill>
          </a:ln>
          <a:effectLst/>
        </c:spPr>
        <c:dLbl>
          <c:idx val="0"/>
          <c:layout>
            <c:manualLayout>
              <c:x val="-7.5551044706371487E-2"/>
              <c:y val="-5.899842160705368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47935AB4-81B1-4523-8B89-B317A7BC6D5D}" type="SERIESNAME">
                  <a:rPr lang="en-US"/>
                  <a:pPr>
                    <a:defRPr sz="900" b="0" i="0" u="none" strike="noStrike" kern="1200" baseline="0">
                      <a:solidFill>
                        <a:schemeClr val="accent3"/>
                      </a:solidFill>
                      <a:latin typeface="+mn-lt"/>
                      <a:ea typeface="+mn-ea"/>
                      <a:cs typeface="+mn-cs"/>
                    </a:defRPr>
                  </a:pPr>
                  <a:t>[SERIES NAME]</a:t>
                </a:fld>
                <a:r>
                  <a:rPr lang="en-US"/>
                  <a:t> 63%</a:t>
                </a:r>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76909424992716"/>
                  <c:h val="0.15485736321164487"/>
                </c:manualLayout>
              </c15:layout>
              <c15:dlblFieldTable/>
              <c15:showDataLabelsRange val="0"/>
            </c:ext>
          </c:extLst>
        </c:dLbl>
      </c:pivotFmt>
      <c:pivotFmt>
        <c:idx val="8"/>
        <c:spPr>
          <a:solidFill>
            <a:schemeClr val="accent3"/>
          </a:solidFill>
          <a:ln w="19050">
            <a:solidFill>
              <a:schemeClr val="lt1"/>
            </a:solidFill>
          </a:ln>
          <a:effectLst/>
        </c:spPr>
        <c:dLbl>
          <c:idx val="0"/>
          <c:layout>
            <c:manualLayout>
              <c:x val="6.825317603965958E-2"/>
              <c:y val="2.7996381495694049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0B214A66-B703-4B84-A62B-183FE23CC8B7}" type="SERIESNAME">
                  <a:rPr lang="en-US"/>
                  <a:pPr>
                    <a:defRPr sz="900" b="0" i="0" u="none" strike="noStrike" kern="1200" baseline="0">
                      <a:solidFill>
                        <a:schemeClr val="accent3"/>
                      </a:solidFill>
                      <a:latin typeface="+mn-lt"/>
                      <a:ea typeface="+mn-ea"/>
                      <a:cs typeface="+mn-cs"/>
                    </a:defRPr>
                  </a:pPr>
                  <a:t>[SERIES NAME]</a:t>
                </a:fld>
                <a:r>
                  <a:rPr lang="en-US"/>
                  <a:t> </a:t>
                </a:r>
                <a:fld id="{1BA1856D-E98C-42B7-B1EE-58A00558435A}"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88855009215752"/>
                  <c:h val="0.15355215572925812"/>
                </c:manualLayout>
              </c15:layout>
              <c15:dlblFieldTable/>
              <c15:showDataLabelsRange val="0"/>
            </c:ext>
          </c:extLst>
        </c:dLbl>
      </c:pivotFmt>
      <c:pivotFmt>
        <c:idx val="9"/>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3"/>
          </a:solidFill>
          <a:ln w="19050">
            <a:solidFill>
              <a:schemeClr val="lt1"/>
            </a:solidFill>
          </a:ln>
          <a:effectLst/>
        </c:spPr>
        <c:dLbl>
          <c:idx val="0"/>
          <c:layout>
            <c:manualLayout>
              <c:x val="6.8074255264727768E-2"/>
              <c:y val="-8.324868495755610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B136E7CF-53E7-4051-901F-810E14D84C60}" type="SERIESNAME">
                  <a:rPr lang="en-US"/>
                  <a:pPr>
                    <a:defRPr sz="900" b="0" i="0" u="none" strike="noStrike" kern="1200" baseline="0">
                      <a:solidFill>
                        <a:schemeClr val="accent3"/>
                      </a:solidFill>
                      <a:latin typeface="+mn-lt"/>
                      <a:ea typeface="+mn-ea"/>
                      <a:cs typeface="+mn-cs"/>
                    </a:defRPr>
                  </a:pPr>
                  <a:t>[SERIES NAME]</a:t>
                </a:fld>
                <a:r>
                  <a:rPr lang="en-US"/>
                  <a:t> </a:t>
                </a:r>
                <a:fld id="{1772DD82-AFAD-4764-876C-F859BE095C93}"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36926395670216"/>
                  <c:h val="0.11470410689978316"/>
                </c:manualLayout>
              </c15:layout>
              <c15:dlblFieldTable/>
              <c15:showDataLabelsRange val="0"/>
            </c:ext>
          </c:extLst>
        </c:dLbl>
      </c:pivotFmt>
      <c:pivotFmt>
        <c:idx val="11"/>
        <c:spPr>
          <a:solidFill>
            <a:schemeClr val="accent3"/>
          </a:solidFill>
          <a:ln w="19050">
            <a:solidFill>
              <a:schemeClr val="lt1"/>
            </a:solidFill>
          </a:ln>
          <a:effectLst/>
        </c:spPr>
        <c:dLbl>
          <c:idx val="0"/>
          <c:layout>
            <c:manualLayout>
              <c:x val="3.3333333333333284E-2"/>
              <c:y val="8.3333333333333162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0EF33C98-B14C-43AE-9641-211CAAB6FC55}" type="SERIESNAME">
                  <a:rPr lang="en-US"/>
                  <a:pPr>
                    <a:defRPr sz="900" b="0" i="0" u="none" strike="noStrike" kern="1200" baseline="0">
                      <a:solidFill>
                        <a:schemeClr val="accent3"/>
                      </a:solidFill>
                      <a:latin typeface="+mn-lt"/>
                      <a:ea typeface="+mn-ea"/>
                      <a:cs typeface="+mn-cs"/>
                    </a:defRPr>
                  </a:pPr>
                  <a:t>[SERIES NAME]</a:t>
                </a:fld>
                <a:r>
                  <a:rPr lang="en-US"/>
                  <a:t> </a:t>
                </a:r>
                <a:fld id="{588CC21C-BF4B-43C3-8DA4-4208A9F08EA2}"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3"/>
          </a:solidFill>
          <a:ln w="19050">
            <a:solidFill>
              <a:schemeClr val="lt1"/>
            </a:solidFill>
          </a:ln>
          <a:effectLst/>
        </c:spPr>
        <c:dLbl>
          <c:idx val="0"/>
          <c:layout>
            <c:manualLayout>
              <c:x val="-7.5551044706371487E-2"/>
              <c:y val="-5.899842160705368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47935AB4-81B1-4523-8B89-B317A7BC6D5D}" type="SERIESNAME">
                  <a:rPr lang="en-US"/>
                  <a:pPr>
                    <a:defRPr/>
                  </a:pPr>
                  <a:t>[SERIES NAME]</a:t>
                </a:fld>
                <a:r>
                  <a:rPr lang="en-US"/>
                  <a:t> 63%</a:t>
                </a:r>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76909424992716"/>
                  <c:h val="0.15485736321164487"/>
                </c:manualLayout>
              </c15:layout>
              <c15:dlblFieldTable/>
              <c15:showDataLabelsRange val="0"/>
            </c:ext>
          </c:extLst>
        </c:dLbl>
      </c:pivotFmt>
      <c:pivotFmt>
        <c:idx val="14"/>
        <c:spPr>
          <a:solidFill>
            <a:schemeClr val="accent3"/>
          </a:solidFill>
          <a:ln w="19050">
            <a:solidFill>
              <a:schemeClr val="lt1"/>
            </a:solidFill>
          </a:ln>
          <a:effectLst/>
        </c:spPr>
        <c:dLbl>
          <c:idx val="0"/>
          <c:layout>
            <c:manualLayout>
              <c:x val="6.825317603965958E-2"/>
              <c:y val="2.7996381495694049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0B214A66-B703-4B84-A62B-183FE23CC8B7}" type="SERIESNAME">
                  <a:rPr lang="en-US"/>
                  <a:pPr>
                    <a:defRPr/>
                  </a:pPr>
                  <a:t>[SERIES NAME]</a:t>
                </a:fld>
                <a:r>
                  <a:rPr lang="en-US"/>
                  <a:t> </a:t>
                </a:r>
                <a:fld id="{1BA1856D-E98C-42B7-B1EE-58A00558435A}"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88855009215752"/>
                  <c:h val="0.15355215572925812"/>
                </c:manualLayout>
              </c15:layout>
              <c15:dlblFieldTable/>
              <c15:showDataLabelsRange val="0"/>
            </c:ext>
          </c:extLst>
        </c:dLbl>
      </c:pivotFmt>
      <c:pivotFmt>
        <c:idx val="15"/>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3"/>
          </a:solidFill>
          <a:ln w="19050">
            <a:solidFill>
              <a:schemeClr val="lt1"/>
            </a:solidFill>
          </a:ln>
          <a:effectLst/>
        </c:spPr>
        <c:dLbl>
          <c:idx val="0"/>
          <c:layout>
            <c:manualLayout>
              <c:x val="6.8074255264727768E-2"/>
              <c:y val="-8.3248684957556107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B136E7CF-53E7-4051-901F-810E14D84C60}" type="SERIESNAME">
                  <a:rPr lang="en-US"/>
                  <a:pPr>
                    <a:defRPr/>
                  </a:pPr>
                  <a:t>[SERIES NAME]</a:t>
                </a:fld>
                <a:r>
                  <a:rPr lang="en-US"/>
                  <a:t> </a:t>
                </a:r>
                <a:fld id="{1772DD82-AFAD-4764-876C-F859BE095C93}"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36926395670216"/>
                  <c:h val="0.11470410689978316"/>
                </c:manualLayout>
              </c15:layout>
              <c15:dlblFieldTable/>
              <c15:showDataLabelsRange val="0"/>
            </c:ext>
          </c:extLst>
        </c:dLbl>
      </c:pivotFmt>
      <c:pivotFmt>
        <c:idx val="17"/>
        <c:spPr>
          <a:solidFill>
            <a:schemeClr val="accent3"/>
          </a:solidFill>
          <a:ln w="19050">
            <a:solidFill>
              <a:schemeClr val="lt1"/>
            </a:solidFill>
          </a:ln>
          <a:effectLst/>
        </c:spPr>
        <c:dLbl>
          <c:idx val="0"/>
          <c:layout>
            <c:manualLayout>
              <c:x val="3.3333333333333284E-2"/>
              <c:y val="8.3333333333333162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0EF33C98-B14C-43AE-9641-211CAAB6FC55}" type="SERIESNAME">
                  <a:rPr lang="en-US"/>
                  <a:pPr>
                    <a:defRPr/>
                  </a:pPr>
                  <a:t>[SERIES NAME]</a:t>
                </a:fld>
                <a:r>
                  <a:rPr lang="en-US"/>
                  <a:t> </a:t>
                </a:r>
                <a:fld id="{588CC21C-BF4B-43C3-8DA4-4208A9F08EA2}"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4147790901137359"/>
          <c:y val="0.20744021580635755"/>
          <c:w val="0.36773840769903759"/>
          <c:h val="0.61289734616506275"/>
        </c:manualLayout>
      </c:layout>
      <c:doughnutChart>
        <c:varyColors val="1"/>
        <c:ser>
          <c:idx val="0"/>
          <c:order val="0"/>
          <c:tx>
            <c:strRef>
              <c:f>'GENDER VS SMOKING STATUS'!$B$3:$B$4</c:f>
              <c:strCache>
                <c:ptCount val="1"/>
                <c:pt idx="0">
                  <c:v>Non-Smoker</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7FBC-48DA-8A35-1B6AA8C29E7B}"/>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7FBC-48DA-8A35-1B6AA8C29E7B}"/>
              </c:ext>
            </c:extLst>
          </c:dPt>
          <c:dLbls>
            <c:dLbl>
              <c:idx val="0"/>
              <c:layout>
                <c:manualLayout>
                  <c:x val="-7.5551044706371487E-2"/>
                  <c:y val="-5.8998421607053687E-2"/>
                </c:manualLayout>
              </c:layout>
              <c:tx>
                <c:rich>
                  <a:bodyPr/>
                  <a:lstStyle/>
                  <a:p>
                    <a:fld id="{47935AB4-81B1-4523-8B89-B317A7BC6D5D}" type="SERIESNAME">
                      <a:rPr lang="en-US"/>
                      <a:pPr/>
                      <a:t>[SERIES NAME]</a:t>
                    </a:fld>
                    <a:r>
                      <a:rPr lang="en-US"/>
                      <a:t> 63%</a:t>
                    </a:r>
                  </a:p>
                </c:rich>
              </c:tx>
              <c:showLegendKey val="0"/>
              <c:showVal val="0"/>
              <c:showCatName val="0"/>
              <c:showSerName val="1"/>
              <c:showPercent val="1"/>
              <c:showBubbleSize val="0"/>
              <c:separator> </c:separator>
              <c:extLst>
                <c:ext xmlns:c15="http://schemas.microsoft.com/office/drawing/2012/chart" uri="{CE6537A1-D6FC-4f65-9D91-7224C49458BB}">
                  <c15:layout>
                    <c:manualLayout>
                      <c:w val="0.15676909424992716"/>
                      <c:h val="0.15485736321164487"/>
                    </c:manualLayout>
                  </c15:layout>
                  <c15:dlblFieldTable/>
                  <c15:showDataLabelsRange val="0"/>
                </c:ext>
                <c:ext xmlns:c16="http://schemas.microsoft.com/office/drawing/2014/chart" uri="{C3380CC4-5D6E-409C-BE32-E72D297353CC}">
                  <c16:uniqueId val="{00000001-7FBC-48DA-8A35-1B6AA8C29E7B}"/>
                </c:ext>
              </c:extLst>
            </c:dLbl>
            <c:dLbl>
              <c:idx val="1"/>
              <c:layout>
                <c:manualLayout>
                  <c:x val="6.825317603965958E-2"/>
                  <c:y val="2.7996381495694049E-2"/>
                </c:manualLayout>
              </c:layout>
              <c:tx>
                <c:rich>
                  <a:bodyPr/>
                  <a:lstStyle/>
                  <a:p>
                    <a:fld id="{0B214A66-B703-4B84-A62B-183FE23CC8B7}" type="SERIESNAME">
                      <a:rPr lang="en-US"/>
                      <a:pPr/>
                      <a:t>[SERIES NAME]</a:t>
                    </a:fld>
                    <a:r>
                      <a:rPr lang="en-US"/>
                      <a:t> </a:t>
                    </a:r>
                    <a:fld id="{1BA1856D-E98C-42B7-B1EE-58A00558435A}" type="PERCENTAGE">
                      <a:rPr lang="en-US"/>
                      <a:pPr/>
                      <a:t>[PERCENTAGE]</a:t>
                    </a:fld>
                    <a:endParaRPr lang="en-US"/>
                  </a:p>
                </c:rich>
              </c:tx>
              <c:showLegendKey val="0"/>
              <c:showVal val="0"/>
              <c:showCatName val="0"/>
              <c:showSerName val="1"/>
              <c:showPercent val="1"/>
              <c:showBubbleSize val="0"/>
              <c:separator> </c:separator>
              <c:extLst>
                <c:ext xmlns:c15="http://schemas.microsoft.com/office/drawing/2012/chart" uri="{CE6537A1-D6FC-4f65-9D91-7224C49458BB}">
                  <c15:layout>
                    <c:manualLayout>
                      <c:w val="0.1188855009215752"/>
                      <c:h val="0.15355215572925812"/>
                    </c:manualLayout>
                  </c15:layout>
                  <c15:dlblFieldTable/>
                  <c15:showDataLabelsRange val="0"/>
                </c:ext>
                <c:ext xmlns:c16="http://schemas.microsoft.com/office/drawing/2014/chart" uri="{C3380CC4-5D6E-409C-BE32-E72D297353CC}">
                  <c16:uniqueId val="{00000003-7FBC-48DA-8A35-1B6AA8C29E7B}"/>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VS SMOKING STATUS'!$A$5:$A$7</c:f>
              <c:strCache>
                <c:ptCount val="2"/>
                <c:pt idx="0">
                  <c:v>Female</c:v>
                </c:pt>
                <c:pt idx="1">
                  <c:v>Male</c:v>
                </c:pt>
              </c:strCache>
            </c:strRef>
          </c:cat>
          <c:val>
            <c:numRef>
              <c:f>'GENDER VS SMOKING STATUS'!$B$5:$B$7</c:f>
              <c:numCache>
                <c:formatCode>General</c:formatCode>
                <c:ptCount val="2"/>
                <c:pt idx="0">
                  <c:v>22</c:v>
                </c:pt>
                <c:pt idx="1">
                  <c:v>13</c:v>
                </c:pt>
              </c:numCache>
            </c:numRef>
          </c:val>
          <c:extLst>
            <c:ext xmlns:c16="http://schemas.microsoft.com/office/drawing/2014/chart" uri="{C3380CC4-5D6E-409C-BE32-E72D297353CC}">
              <c16:uniqueId val="{00000004-7FBC-48DA-8A35-1B6AA8C29E7B}"/>
            </c:ext>
          </c:extLst>
        </c:ser>
        <c:ser>
          <c:idx val="1"/>
          <c:order val="1"/>
          <c:tx>
            <c:strRef>
              <c:f>'GENDER VS SMOKING STATUS'!$C$3:$C$4</c:f>
              <c:strCache>
                <c:ptCount val="1"/>
                <c:pt idx="0">
                  <c:v>Smoker</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6-7FBC-48DA-8A35-1B6AA8C29E7B}"/>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8-7FBC-48DA-8A35-1B6AA8C29E7B}"/>
              </c:ext>
            </c:extLst>
          </c:dPt>
          <c:dLbls>
            <c:dLbl>
              <c:idx val="0"/>
              <c:layout>
                <c:manualLayout>
                  <c:x val="6.8074255264727768E-2"/>
                  <c:y val="-8.3248684957556107E-2"/>
                </c:manualLayout>
              </c:layout>
              <c:tx>
                <c:rich>
                  <a:bodyPr/>
                  <a:lstStyle/>
                  <a:p>
                    <a:fld id="{B136E7CF-53E7-4051-901F-810E14D84C60}" type="SERIESNAME">
                      <a:rPr lang="en-US"/>
                      <a:pPr/>
                      <a:t>[SERIES NAME]</a:t>
                    </a:fld>
                    <a:r>
                      <a:rPr lang="en-US"/>
                      <a:t> </a:t>
                    </a:r>
                    <a:fld id="{1772DD82-AFAD-4764-876C-F859BE095C93}" type="PERCENTAGE">
                      <a:rPr lang="en-US"/>
                      <a:pPr/>
                      <a:t>[PERCENTAGE]</a:t>
                    </a:fld>
                    <a:endParaRPr lang="en-US"/>
                  </a:p>
                </c:rich>
              </c:tx>
              <c:showLegendKey val="0"/>
              <c:showVal val="0"/>
              <c:showCatName val="0"/>
              <c:showSerName val="1"/>
              <c:showPercent val="1"/>
              <c:showBubbleSize val="0"/>
              <c:extLst>
                <c:ext xmlns:c15="http://schemas.microsoft.com/office/drawing/2012/chart" uri="{CE6537A1-D6FC-4f65-9D91-7224C49458BB}">
                  <c15:layout>
                    <c:manualLayout>
                      <c:w val="0.17936926395670216"/>
                      <c:h val="0.11470410689978316"/>
                    </c:manualLayout>
                  </c15:layout>
                  <c15:dlblFieldTable/>
                  <c15:showDataLabelsRange val="0"/>
                </c:ext>
                <c:ext xmlns:c16="http://schemas.microsoft.com/office/drawing/2014/chart" uri="{C3380CC4-5D6E-409C-BE32-E72D297353CC}">
                  <c16:uniqueId val="{00000006-7FBC-48DA-8A35-1B6AA8C29E7B}"/>
                </c:ext>
              </c:extLst>
            </c:dLbl>
            <c:dLbl>
              <c:idx val="1"/>
              <c:layout>
                <c:manualLayout>
                  <c:x val="3.3333333333333284E-2"/>
                  <c:y val="8.3333333333333162E-2"/>
                </c:manualLayout>
              </c:layout>
              <c:tx>
                <c:rich>
                  <a:bodyPr/>
                  <a:lstStyle/>
                  <a:p>
                    <a:fld id="{0EF33C98-B14C-43AE-9641-211CAAB6FC55}" type="SERIESNAME">
                      <a:rPr lang="en-US"/>
                      <a:pPr/>
                      <a:t>[SERIES NAME]</a:t>
                    </a:fld>
                    <a:r>
                      <a:rPr lang="en-US"/>
                      <a:t> </a:t>
                    </a:r>
                    <a:fld id="{588CC21C-BF4B-43C3-8DA4-4208A9F08EA2}" type="PERCENTAGE">
                      <a:rPr lang="en-US"/>
                      <a:pPr/>
                      <a:t>[PERCENTAGE]</a:t>
                    </a:fld>
                    <a:endParaRPr lang="en-US"/>
                  </a:p>
                </c:rich>
              </c:tx>
              <c:showLegendKey val="0"/>
              <c:showVal val="0"/>
              <c:showCatName val="0"/>
              <c:showSerName val="1"/>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7FBC-48DA-8A35-1B6AA8C29E7B}"/>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showLegendKey val="0"/>
            <c:showVal val="0"/>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VS SMOKING STATUS'!$A$5:$A$7</c:f>
              <c:strCache>
                <c:ptCount val="2"/>
                <c:pt idx="0">
                  <c:v>Female</c:v>
                </c:pt>
                <c:pt idx="1">
                  <c:v>Male</c:v>
                </c:pt>
              </c:strCache>
            </c:strRef>
          </c:cat>
          <c:val>
            <c:numRef>
              <c:f>'GENDER VS SMOKING STATUS'!$C$5:$C$7</c:f>
              <c:numCache>
                <c:formatCode>General</c:formatCode>
                <c:ptCount val="2"/>
                <c:pt idx="0">
                  <c:v>1</c:v>
                </c:pt>
                <c:pt idx="1">
                  <c:v>10</c:v>
                </c:pt>
              </c:numCache>
            </c:numRef>
          </c:val>
          <c:extLst>
            <c:ext xmlns:c16="http://schemas.microsoft.com/office/drawing/2014/chart" uri="{C3380CC4-5D6E-409C-BE32-E72D297353CC}">
              <c16:uniqueId val="{00000009-7FBC-48DA-8A35-1B6AA8C29E7B}"/>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79000"/>
      </a:schemeClr>
    </a:solidFill>
    <a:ln w="0" cap="flat" cmpd="sng" algn="ctr">
      <a:solidFill>
        <a:schemeClr val="tx1"/>
      </a:solidFill>
      <a:round/>
    </a:ln>
    <a:effectLst/>
  </c:spPr>
  <c:txPr>
    <a:bodyPr/>
    <a:lstStyle/>
    <a:p>
      <a:pPr>
        <a:defRPr>
          <a:solidFill>
            <a:schemeClr val="accent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[EXCEL PROJECT(AutoRecovered).xlsx]AVERAGE CHARGES BY NUMBER OF CH!PivotTable5</c:name>
    <c:fmtId val="11"/>
  </c:pivotSource>
  <c:chart>
    <c:title>
      <c:tx>
        <c:rich>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r>
              <a:rPr lang="en-US"/>
              <a:t>Average Charges By Number Of Childrens</a:t>
            </a:r>
          </a:p>
        </c:rich>
      </c:tx>
      <c:layout>
        <c:manualLayout>
          <c:xMode val="edge"/>
          <c:yMode val="edge"/>
          <c:x val="0.15734751388522347"/>
          <c:y val="3.75489213026983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hade val="58000"/>
            </a:schemeClr>
          </a:solidFill>
          <a:ln w="19050">
            <a:solidFill>
              <a:schemeClr val="lt1"/>
            </a:solidFill>
          </a:ln>
          <a:effectLst/>
        </c:spPr>
        <c:dLbl>
          <c:idx val="0"/>
          <c:layout>
            <c:manualLayout>
              <c:x val="1.2105424321959756E-2"/>
              <c:y val="5.9242640234976704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1364E61A-E6D5-4960-BBA6-B263C1348FBA}" type="CATEGORYNAME">
                  <a:rPr lang="en-US"/>
                  <a:pPr>
                    <a:defRPr sz="900" b="0" i="0" u="none" strike="noStrike" kern="1200" baseline="0">
                      <a:solidFill>
                        <a:schemeClr val="accent3"/>
                      </a:solidFill>
                      <a:latin typeface="+mn-lt"/>
                      <a:ea typeface="+mn-ea"/>
                      <a:cs typeface="+mn-cs"/>
                    </a:defRPr>
                  </a:pPr>
                  <a:t>[CATEGORY NAME]</a:t>
                </a:fld>
                <a:r>
                  <a:rPr lang="en-US"/>
                  <a:t>
</a:t>
                </a:r>
                <a:fld id="{AE38D76A-0269-4A87-BABC-7372CBE2034C}"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3">
              <a:shade val="86000"/>
            </a:schemeClr>
          </a:solidFill>
          <a:ln w="19050">
            <a:solidFill>
              <a:schemeClr val="lt1"/>
            </a:solidFill>
          </a:ln>
          <a:effectLst/>
        </c:spPr>
        <c:dLbl>
          <c:idx val="0"/>
          <c:layout>
            <c:manualLayout>
              <c:x val="-1.6683727034120736E-2"/>
              <c:y val="-6.2486326511737675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826EC2E0-6C16-4925-8FBD-C1170C727017}" type="CATEGORYNAME">
                  <a:rPr lang="en-US"/>
                  <a:pPr>
                    <a:defRPr sz="900" b="0" i="0" u="none" strike="noStrike" kern="1200" baseline="0">
                      <a:solidFill>
                        <a:schemeClr val="accent3"/>
                      </a:solidFill>
                      <a:latin typeface="+mn-lt"/>
                      <a:ea typeface="+mn-ea"/>
                      <a:cs typeface="+mn-cs"/>
                    </a:defRPr>
                  </a:pPr>
                  <a:t>[CATEGORY NAME]</a:t>
                </a:fld>
                <a:r>
                  <a:rPr lang="en-US"/>
                  <a:t>
</a:t>
                </a:r>
                <a:fld id="{FD40E6E3-5568-489E-9EA2-E5EB735C3F73}"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3">
              <a:tint val="58000"/>
            </a:schemeClr>
          </a:solidFill>
          <a:ln w="19050">
            <a:solidFill>
              <a:schemeClr val="lt1"/>
            </a:solidFill>
          </a:ln>
          <a:effectLst/>
        </c:spPr>
        <c:dLbl>
          <c:idx val="0"/>
          <c:layout>
            <c:manualLayout>
              <c:x val="1.7281277340332457E-3"/>
              <c:y val="-1.3202450544228752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362165BF-94B3-4001-A9A3-CD34D4145D57}" type="CATEGORYNAME">
                  <a:rPr lang="en-US"/>
                  <a:pPr>
                    <a:defRPr sz="900" b="0" i="0" u="none" strike="noStrike" kern="1200" baseline="0">
                      <a:solidFill>
                        <a:schemeClr val="accent3"/>
                      </a:solidFill>
                      <a:latin typeface="+mn-lt"/>
                      <a:ea typeface="+mn-ea"/>
                      <a:cs typeface="+mn-cs"/>
                    </a:defRPr>
                  </a:pPr>
                  <a:t>[CATEGORY NAME]</a:t>
                </a:fld>
                <a:r>
                  <a:rPr lang="en-US"/>
                  <a:t>
</a:t>
                </a:r>
                <a:fld id="{E1EF17DD-85E9-4FEE-A36B-4128E9F13CAD}"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3">
              <a:tint val="86000"/>
            </a:schemeClr>
          </a:solidFill>
          <a:ln w="19050">
            <a:solidFill>
              <a:schemeClr val="lt1"/>
            </a:solidFill>
          </a:ln>
          <a:effectLst/>
        </c:spPr>
        <c:dLbl>
          <c:idx val="0"/>
          <c:layout>
            <c:manualLayout>
              <c:x val="-3.0601706036745408E-2"/>
              <c:y val="-2.809291912629997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6988BF8E-1326-4F89-9553-71EE18064792}" type="CATEGORYNAME">
                  <a:rPr lang="en-US"/>
                  <a:pPr>
                    <a:defRPr sz="900" b="0" i="0" u="none" strike="noStrike" kern="1200" baseline="0">
                      <a:solidFill>
                        <a:schemeClr val="accent3"/>
                      </a:solidFill>
                      <a:latin typeface="+mn-lt"/>
                      <a:ea typeface="+mn-ea"/>
                      <a:cs typeface="+mn-cs"/>
                    </a:defRPr>
                  </a:pPr>
                  <a:t>[CATEGORY NAME]</a:t>
                </a:fld>
                <a:r>
                  <a:rPr lang="en-US"/>
                  <a:t>
</a:t>
                </a:r>
                <a:fld id="{F1A7C6E5-83A7-4AC5-8442-0B0BAB0EB385}"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hade val="58000"/>
            </a:schemeClr>
          </a:solidFill>
          <a:ln w="19050">
            <a:solidFill>
              <a:schemeClr val="lt1"/>
            </a:solidFill>
          </a:ln>
          <a:effectLst/>
        </c:spPr>
        <c:dLbl>
          <c:idx val="0"/>
          <c:layout>
            <c:manualLayout>
              <c:x val="1.2105424321959756E-2"/>
              <c:y val="5.9242640234976704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1364E61A-E6D5-4960-BBA6-B263C1348FBA}" type="CATEGORYNAME">
                  <a:rPr lang="en-US"/>
                  <a:pPr>
                    <a:defRPr sz="900" b="0" i="0" u="none" strike="noStrike" kern="1200" baseline="0">
                      <a:solidFill>
                        <a:schemeClr val="accent3"/>
                      </a:solidFill>
                      <a:latin typeface="+mn-lt"/>
                      <a:ea typeface="+mn-ea"/>
                      <a:cs typeface="+mn-cs"/>
                    </a:defRPr>
                  </a:pPr>
                  <a:t>[CATEGORY NAME]</a:t>
                </a:fld>
                <a:r>
                  <a:rPr lang="en-US"/>
                  <a:t>
</a:t>
                </a:r>
                <a:fld id="{AE38D76A-0269-4A87-BABC-7372CBE2034C}"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3">
              <a:shade val="86000"/>
            </a:schemeClr>
          </a:solidFill>
          <a:ln w="19050">
            <a:solidFill>
              <a:schemeClr val="lt1"/>
            </a:solidFill>
          </a:ln>
          <a:effectLst/>
        </c:spPr>
        <c:dLbl>
          <c:idx val="0"/>
          <c:layout>
            <c:manualLayout>
              <c:x val="-1.6683727034120736E-2"/>
              <c:y val="-6.2486326511737675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826EC2E0-6C16-4925-8FBD-C1170C727017}" type="CATEGORYNAME">
                  <a:rPr lang="en-US"/>
                  <a:pPr>
                    <a:defRPr sz="900" b="0" i="0" u="none" strike="noStrike" kern="1200" baseline="0">
                      <a:solidFill>
                        <a:schemeClr val="accent3"/>
                      </a:solidFill>
                      <a:latin typeface="+mn-lt"/>
                      <a:ea typeface="+mn-ea"/>
                      <a:cs typeface="+mn-cs"/>
                    </a:defRPr>
                  </a:pPr>
                  <a:t>[CATEGORY NAME]</a:t>
                </a:fld>
                <a:r>
                  <a:rPr lang="en-US"/>
                  <a:t>
</a:t>
                </a:r>
                <a:fld id="{FD40E6E3-5568-489E-9EA2-E5EB735C3F73}"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3">
              <a:tint val="86000"/>
            </a:schemeClr>
          </a:solidFill>
          <a:ln w="19050">
            <a:solidFill>
              <a:schemeClr val="lt1"/>
            </a:solidFill>
          </a:ln>
          <a:effectLst/>
        </c:spPr>
        <c:dLbl>
          <c:idx val="0"/>
          <c:layout>
            <c:manualLayout>
              <c:x val="-3.0601706036745408E-2"/>
              <c:y val="-2.809291912629997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6988BF8E-1326-4F89-9553-71EE18064792}" type="CATEGORYNAME">
                  <a:rPr lang="en-US"/>
                  <a:pPr>
                    <a:defRPr sz="900" b="0" i="0" u="none" strike="noStrike" kern="1200" baseline="0">
                      <a:solidFill>
                        <a:schemeClr val="accent3"/>
                      </a:solidFill>
                      <a:latin typeface="+mn-lt"/>
                      <a:ea typeface="+mn-ea"/>
                      <a:cs typeface="+mn-cs"/>
                    </a:defRPr>
                  </a:pPr>
                  <a:t>[CATEGORY NAME]</a:t>
                </a:fld>
                <a:r>
                  <a:rPr lang="en-US"/>
                  <a:t>
</a:t>
                </a:r>
                <a:fld id="{F1A7C6E5-83A7-4AC5-8442-0B0BAB0EB385}"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3">
              <a:tint val="58000"/>
            </a:schemeClr>
          </a:solidFill>
          <a:ln w="19050">
            <a:solidFill>
              <a:schemeClr val="lt1"/>
            </a:solidFill>
          </a:ln>
          <a:effectLst/>
        </c:spPr>
        <c:dLbl>
          <c:idx val="0"/>
          <c:layout>
            <c:manualLayout>
              <c:x val="1.7281277340332457E-3"/>
              <c:y val="-1.3202450544228752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362165BF-94B3-4001-A9A3-CD34D4145D57}" type="CATEGORYNAME">
                  <a:rPr lang="en-US"/>
                  <a:pPr>
                    <a:defRPr sz="900" b="0" i="0" u="none" strike="noStrike" kern="1200" baseline="0">
                      <a:solidFill>
                        <a:schemeClr val="accent3"/>
                      </a:solidFill>
                      <a:latin typeface="+mn-lt"/>
                      <a:ea typeface="+mn-ea"/>
                      <a:cs typeface="+mn-cs"/>
                    </a:defRPr>
                  </a:pPr>
                  <a:t>[CATEGORY NAME]</a:t>
                </a:fld>
                <a:r>
                  <a:rPr lang="en-US"/>
                  <a:t>
</a:t>
                </a:r>
                <a:fld id="{E1EF17DD-85E9-4FEE-A36B-4128E9F13CAD}" type="PERCENTAGE">
                  <a:rPr lang="en-US"/>
                  <a:pPr>
                    <a:defRPr sz="900" b="0" i="0" u="none" strike="noStrike" kern="1200" baseline="0">
                      <a:solidFill>
                        <a:schemeClr val="accent3"/>
                      </a:solidFill>
                      <a:latin typeface="+mn-lt"/>
                      <a:ea typeface="+mn-ea"/>
                      <a:cs typeface="+mn-cs"/>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3">
              <a:shade val="58000"/>
            </a:schemeClr>
          </a:solidFill>
          <a:ln w="19050">
            <a:solidFill>
              <a:schemeClr val="lt1"/>
            </a:solidFill>
          </a:ln>
          <a:effectLst/>
        </c:spPr>
        <c:dLbl>
          <c:idx val="0"/>
          <c:layout>
            <c:manualLayout>
              <c:x val="1.2105424321959756E-2"/>
              <c:y val="5.9242640234976704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1364E61A-E6D5-4960-BBA6-B263C1348FBA}" type="CATEGORYNAME">
                  <a:rPr lang="en-US"/>
                  <a:pPr>
                    <a:defRPr/>
                  </a:pPr>
                  <a:t>[CATEGORY NAME]</a:t>
                </a:fld>
                <a:r>
                  <a:rPr lang="en-US"/>
                  <a:t>
</a:t>
                </a:r>
                <a:fld id="{AE38D76A-0269-4A87-BABC-7372CBE2034C}"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3">
              <a:shade val="86000"/>
            </a:schemeClr>
          </a:solidFill>
          <a:ln w="19050">
            <a:solidFill>
              <a:schemeClr val="lt1"/>
            </a:solidFill>
          </a:ln>
          <a:effectLst/>
        </c:spPr>
        <c:dLbl>
          <c:idx val="0"/>
          <c:layout>
            <c:manualLayout>
              <c:x val="-1.6683727034120736E-2"/>
              <c:y val="-6.2486326511737675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826EC2E0-6C16-4925-8FBD-C1170C727017}" type="CATEGORYNAME">
                  <a:rPr lang="en-US"/>
                  <a:pPr>
                    <a:defRPr/>
                  </a:pPr>
                  <a:t>[CATEGORY NAME]</a:t>
                </a:fld>
                <a:r>
                  <a:rPr lang="en-US"/>
                  <a:t>
</a:t>
                </a:r>
                <a:fld id="{FD40E6E3-5568-489E-9EA2-E5EB735C3F73}"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3">
              <a:tint val="86000"/>
            </a:schemeClr>
          </a:solidFill>
          <a:ln w="19050">
            <a:solidFill>
              <a:schemeClr val="lt1"/>
            </a:solidFill>
          </a:ln>
          <a:effectLst/>
        </c:spPr>
        <c:dLbl>
          <c:idx val="0"/>
          <c:layout>
            <c:manualLayout>
              <c:x val="-3.0601706036745408E-2"/>
              <c:y val="-2.809291912629997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6988BF8E-1326-4F89-9553-71EE18064792}" type="CATEGORYNAME">
                  <a:rPr lang="en-US"/>
                  <a:pPr>
                    <a:defRPr/>
                  </a:pPr>
                  <a:t>[CATEGORY NAME]</a:t>
                </a:fld>
                <a:r>
                  <a:rPr lang="en-US"/>
                  <a:t>
</a:t>
                </a:r>
                <a:fld id="{F1A7C6E5-83A7-4AC5-8442-0B0BAB0EB385}"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3">
              <a:tint val="58000"/>
            </a:schemeClr>
          </a:solidFill>
          <a:ln w="19050">
            <a:solidFill>
              <a:schemeClr val="lt1"/>
            </a:solidFill>
          </a:ln>
          <a:effectLst/>
        </c:spPr>
        <c:dLbl>
          <c:idx val="0"/>
          <c:layout>
            <c:manualLayout>
              <c:x val="1.7281277340332457E-3"/>
              <c:y val="-1.3202450544228752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fld id="{362165BF-94B3-4001-A9A3-CD34D4145D57}" type="CATEGORYNAME">
                  <a:rPr lang="en-US"/>
                  <a:pPr>
                    <a:defRPr/>
                  </a:pPr>
                  <a:t>[CATEGORY NAME]</a:t>
                </a:fld>
                <a:r>
                  <a:rPr lang="en-US"/>
                  <a:t>
</a:t>
                </a:r>
                <a:fld id="{E1EF17DD-85E9-4FEE-A36B-4128E9F13CAD}" type="PERCENTAGE">
                  <a:rPr lang="en-US"/>
                  <a:pPr>
                    <a:defRPr/>
                  </a:pPr>
                  <a:t>[PERCENTAGE]</a:t>
                </a:fld>
                <a:endParaRPr lang="en-US"/>
              </a:p>
            </c:rich>
          </c:tx>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'AVERAGE CHARGES BY NUMBER OF CH'!$B$3</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932F-442C-9213-56E21D92B9C8}"/>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932F-442C-9213-56E21D92B9C8}"/>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932F-442C-9213-56E21D92B9C8}"/>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932F-442C-9213-56E21D92B9C8}"/>
              </c:ext>
            </c:extLst>
          </c:dPt>
          <c:dLbls>
            <c:dLbl>
              <c:idx val="0"/>
              <c:layout>
                <c:manualLayout>
                  <c:x val="1.2105424321959756E-2"/>
                  <c:y val="5.9242640234976704E-2"/>
                </c:manualLayout>
              </c:layout>
              <c:tx>
                <c:rich>
                  <a:bodyPr/>
                  <a:lstStyle/>
                  <a:p>
                    <a:fld id="{1364E61A-E6D5-4960-BBA6-B263C1348FBA}" type="CATEGORYNAME">
                      <a:rPr lang="en-US"/>
                      <a:pPr/>
                      <a:t>[CATEGORY NAME]</a:t>
                    </a:fld>
                    <a:r>
                      <a:rPr lang="en-US"/>
                      <a:t>
</a:t>
                    </a:r>
                    <a:fld id="{AE38D76A-0269-4A87-BABC-7372CBE2034C}"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32F-442C-9213-56E21D92B9C8}"/>
                </c:ext>
              </c:extLst>
            </c:dLbl>
            <c:dLbl>
              <c:idx val="1"/>
              <c:layout>
                <c:manualLayout>
                  <c:x val="-1.6683727034120736E-2"/>
                  <c:y val="-6.2486326511737675E-2"/>
                </c:manualLayout>
              </c:layout>
              <c:tx>
                <c:rich>
                  <a:bodyPr/>
                  <a:lstStyle/>
                  <a:p>
                    <a:fld id="{826EC2E0-6C16-4925-8FBD-C1170C727017}" type="CATEGORYNAME">
                      <a:rPr lang="en-US"/>
                      <a:pPr/>
                      <a:t>[CATEGORY NAME]</a:t>
                    </a:fld>
                    <a:r>
                      <a:rPr lang="en-US"/>
                      <a:t>
</a:t>
                    </a:r>
                    <a:fld id="{FD40E6E3-5568-489E-9EA2-E5EB735C3F73}"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32F-442C-9213-56E21D92B9C8}"/>
                </c:ext>
              </c:extLst>
            </c:dLbl>
            <c:dLbl>
              <c:idx val="2"/>
              <c:layout>
                <c:manualLayout>
                  <c:x val="-3.0601706036745408E-2"/>
                  <c:y val="-2.8092919126299978E-2"/>
                </c:manualLayout>
              </c:layout>
              <c:tx>
                <c:rich>
                  <a:bodyPr/>
                  <a:lstStyle/>
                  <a:p>
                    <a:fld id="{6988BF8E-1326-4F89-9553-71EE18064792}" type="CATEGORYNAME">
                      <a:rPr lang="en-US"/>
                      <a:pPr/>
                      <a:t>[CATEGORY NAME]</a:t>
                    </a:fld>
                    <a:r>
                      <a:rPr lang="en-US"/>
                      <a:t>
</a:t>
                    </a:r>
                    <a:fld id="{F1A7C6E5-83A7-4AC5-8442-0B0BAB0EB385}"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32F-442C-9213-56E21D92B9C8}"/>
                </c:ext>
              </c:extLst>
            </c:dLbl>
            <c:dLbl>
              <c:idx val="3"/>
              <c:layout>
                <c:manualLayout>
                  <c:x val="1.7281277340332457E-3"/>
                  <c:y val="-1.3202450544228752E-2"/>
                </c:manualLayout>
              </c:layout>
              <c:tx>
                <c:rich>
                  <a:bodyPr/>
                  <a:lstStyle/>
                  <a:p>
                    <a:fld id="{362165BF-94B3-4001-A9A3-CD34D4145D57}" type="CATEGORYNAME">
                      <a:rPr lang="en-US"/>
                      <a:pPr/>
                      <a:t>[CATEGORY NAME]</a:t>
                    </a:fld>
                    <a:r>
                      <a:rPr lang="en-US"/>
                      <a:t>
</a:t>
                    </a:r>
                    <a:fld id="{E1EF17DD-85E9-4FEE-A36B-4128E9F13CAD}"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32F-442C-9213-56E21D92B9C8}"/>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'AVERAGE CHARGES BY NUMBER OF CH'!$A$4:$A$8</c:f>
              <c:strCache>
                <c:ptCount val="4"/>
                <c:pt idx="0">
                  <c:v>0</c:v>
                </c:pt>
                <c:pt idx="1">
                  <c:v>1</c:v>
                </c:pt>
                <c:pt idx="2">
                  <c:v>2</c:v>
                </c:pt>
                <c:pt idx="3">
                  <c:v>3</c:v>
                </c:pt>
              </c:strCache>
            </c:strRef>
          </c:cat>
          <c:val>
            <c:numRef>
              <c:f>'AVERAGE CHARGES BY NUMBER OF CH'!$B$4:$B$8</c:f>
              <c:numCache>
                <c:formatCode>General</c:formatCode>
                <c:ptCount val="4"/>
                <c:pt idx="0">
                  <c:v>15120.833333333334</c:v>
                </c:pt>
                <c:pt idx="1">
                  <c:v>12050</c:v>
                </c:pt>
                <c:pt idx="2">
                  <c:v>21805.384615384617</c:v>
                </c:pt>
                <c:pt idx="3">
                  <c:v>24177</c:v>
                </c:pt>
              </c:numCache>
            </c:numRef>
          </c:val>
          <c:extLst>
            <c:ext xmlns:c16="http://schemas.microsoft.com/office/drawing/2014/chart" uri="{C3380CC4-5D6E-409C-BE32-E72D297353CC}">
              <c16:uniqueId val="{00000008-932F-442C-9213-56E21D92B9C8}"/>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0" cap="flat" cmpd="sng" algn="ctr">
      <a:solidFill>
        <a:schemeClr val="tx1"/>
      </a:solidFill>
      <a:round/>
    </a:ln>
    <a:effectLst/>
  </c:spPr>
  <c:txPr>
    <a:bodyPr/>
    <a:lstStyle/>
    <a:p>
      <a:pPr>
        <a:defRPr>
          <a:solidFill>
            <a:schemeClr val="accent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[EXCEL PROJECT(AutoRecovered).xlsx]AVERAGE BMI AND AGE BY REGION!PivotTable1</c:name>
    <c:fmtId val="11"/>
  </c:pivotSource>
  <c:chart>
    <c:title>
      <c:tx>
        <c:rich>
          <a:bodyPr rot="0" spcFirstLastPara="1" vertOverflow="ellipsis" vert="horz" wrap="square" anchor="ctr" anchorCtr="1"/>
          <a:lstStyle/>
          <a:p>
            <a:pPr>
              <a:defRPr sz="1400" b="0" i="0" u="none" strike="noStrike" kern="1200" spc="0" baseline="0">
                <a:ln>
                  <a:solidFill>
                    <a:schemeClr val="accent3"/>
                  </a:solidFill>
                </a:ln>
                <a:solidFill>
                  <a:schemeClr val="accent3"/>
                </a:solidFill>
                <a:latin typeface="+mn-lt"/>
                <a:ea typeface="+mn-ea"/>
                <a:cs typeface="+mn-cs"/>
              </a:defRPr>
            </a:pPr>
            <a:r>
              <a:rPr lang="en-IN"/>
              <a:t>Average BMI and Age By 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3"/>
                </a:solidFill>
              </a:ln>
              <a:solidFill>
                <a:schemeClr val="accent3"/>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3"/>
                    </a:solidFill>
                  </a:ln>
                  <a:solidFill>
                    <a:schemeClr val="accent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35956203415085E-2"/>
          <c:y val="0.24363897872140983"/>
          <c:w val="0.92202577180258627"/>
          <c:h val="0.51917122188238862"/>
        </c:manualLayout>
      </c:layout>
      <c:lineChart>
        <c:grouping val="standard"/>
        <c:varyColors val="0"/>
        <c:ser>
          <c:idx val="0"/>
          <c:order val="0"/>
          <c:tx>
            <c:strRef>
              <c:f>'AVERAGE BMI AND AGE BY REGION'!$B$3</c:f>
              <c:strCache>
                <c:ptCount val="1"/>
                <c:pt idx="0">
                  <c:v>Average of BMI</c:v>
                </c:pt>
              </c:strCache>
            </c:strRef>
          </c:tx>
          <c:spPr>
            <a:ln w="28575" cap="rnd">
              <a:solidFill>
                <a:schemeClr val="accent3">
                  <a:shade val="76000"/>
                </a:schemeClr>
              </a:solidFill>
              <a:round/>
            </a:ln>
            <a:effectLst/>
          </c:spPr>
          <c:marker>
            <c:symbol val="none"/>
          </c:marker>
          <c:cat>
            <c:strRef>
              <c:f>'AVERAGE BMI AND AGE BY REGION'!$A$4:$A$24</c:f>
              <c:strCache>
                <c:ptCount val="20"/>
                <c:pt idx="0">
                  <c:v>Albuquerque</c:v>
                </c:pt>
                <c:pt idx="1">
                  <c:v>Austin</c:v>
                </c:pt>
                <c:pt idx="2">
                  <c:v>Baltimore</c:v>
                </c:pt>
                <c:pt idx="3">
                  <c:v>Chicago</c:v>
                </c:pt>
                <c:pt idx="4">
                  <c:v>Columbus</c:v>
                </c:pt>
                <c:pt idx="5">
                  <c:v>Dallas</c:v>
                </c:pt>
                <c:pt idx="6">
                  <c:v>Denver</c:v>
                </c:pt>
                <c:pt idx="7">
                  <c:v>Fresno</c:v>
                </c:pt>
                <c:pt idx="8">
                  <c:v>Kansas City</c:v>
                </c:pt>
                <c:pt idx="9">
                  <c:v>Las Vegas</c:v>
                </c:pt>
                <c:pt idx="10">
                  <c:v>Long Beach</c:v>
                </c:pt>
                <c:pt idx="11">
                  <c:v>Mesa</c:v>
                </c:pt>
                <c:pt idx="12">
                  <c:v>Nashville</c:v>
                </c:pt>
                <c:pt idx="13">
                  <c:v>Oakland</c:v>
                </c:pt>
                <c:pt idx="14">
                  <c:v>Philadelphia</c:v>
                </c:pt>
                <c:pt idx="15">
                  <c:v>San Francisco</c:v>
                </c:pt>
                <c:pt idx="16">
                  <c:v>Seattle</c:v>
                </c:pt>
                <c:pt idx="17">
                  <c:v>Tampa</c:v>
                </c:pt>
                <c:pt idx="18">
                  <c:v>Washington</c:v>
                </c:pt>
                <c:pt idx="19">
                  <c:v>Wichita</c:v>
                </c:pt>
              </c:strCache>
            </c:strRef>
          </c:cat>
          <c:val>
            <c:numRef>
              <c:f>'AVERAGE BMI AND AGE BY REGION'!$B$4:$B$24</c:f>
              <c:numCache>
                <c:formatCode>General</c:formatCode>
                <c:ptCount val="20"/>
                <c:pt idx="0">
                  <c:v>32.5</c:v>
                </c:pt>
                <c:pt idx="1">
                  <c:v>30.5</c:v>
                </c:pt>
                <c:pt idx="2">
                  <c:v>31.8</c:v>
                </c:pt>
                <c:pt idx="3">
                  <c:v>31.2</c:v>
                </c:pt>
                <c:pt idx="4">
                  <c:v>29.8</c:v>
                </c:pt>
                <c:pt idx="5">
                  <c:v>33</c:v>
                </c:pt>
                <c:pt idx="6">
                  <c:v>34.200000000000003</c:v>
                </c:pt>
                <c:pt idx="7">
                  <c:v>30.3</c:v>
                </c:pt>
                <c:pt idx="8">
                  <c:v>34.700000000000003</c:v>
                </c:pt>
                <c:pt idx="9">
                  <c:v>35.1</c:v>
                </c:pt>
                <c:pt idx="10">
                  <c:v>31</c:v>
                </c:pt>
                <c:pt idx="11">
                  <c:v>33.5</c:v>
                </c:pt>
                <c:pt idx="12">
                  <c:v>33.799999999999997</c:v>
                </c:pt>
                <c:pt idx="13">
                  <c:v>32.799999999999997</c:v>
                </c:pt>
                <c:pt idx="14">
                  <c:v>29.9</c:v>
                </c:pt>
                <c:pt idx="15">
                  <c:v>32.700000000000003</c:v>
                </c:pt>
                <c:pt idx="16">
                  <c:v>31.5</c:v>
                </c:pt>
                <c:pt idx="17">
                  <c:v>35.299999999999997</c:v>
                </c:pt>
                <c:pt idx="18">
                  <c:v>29.6</c:v>
                </c:pt>
                <c:pt idx="19">
                  <c:v>31.7</c:v>
                </c:pt>
              </c:numCache>
            </c:numRef>
          </c:val>
          <c:smooth val="0"/>
          <c:extLst>
            <c:ext xmlns:c16="http://schemas.microsoft.com/office/drawing/2014/chart" uri="{C3380CC4-5D6E-409C-BE32-E72D297353CC}">
              <c16:uniqueId val="{00000000-39E3-469E-A500-E884A213D5D7}"/>
            </c:ext>
          </c:extLst>
        </c:ser>
        <c:ser>
          <c:idx val="1"/>
          <c:order val="1"/>
          <c:tx>
            <c:strRef>
              <c:f>'AVERAGE BMI AND AGE BY REGION'!$C$3</c:f>
              <c:strCache>
                <c:ptCount val="1"/>
                <c:pt idx="0">
                  <c:v>Average of Age</c:v>
                </c:pt>
              </c:strCache>
            </c:strRef>
          </c:tx>
          <c:spPr>
            <a:ln w="28575" cap="rnd">
              <a:solidFill>
                <a:schemeClr val="accent3">
                  <a:tint val="77000"/>
                </a:schemeClr>
              </a:solidFill>
              <a:round/>
            </a:ln>
            <a:effectLst/>
          </c:spPr>
          <c:marker>
            <c:symbol val="none"/>
          </c:marker>
          <c:cat>
            <c:strRef>
              <c:f>'AVERAGE BMI AND AGE BY REGION'!$A$4:$A$24</c:f>
              <c:strCache>
                <c:ptCount val="20"/>
                <c:pt idx="0">
                  <c:v>Albuquerque</c:v>
                </c:pt>
                <c:pt idx="1">
                  <c:v>Austin</c:v>
                </c:pt>
                <c:pt idx="2">
                  <c:v>Baltimore</c:v>
                </c:pt>
                <c:pt idx="3">
                  <c:v>Chicago</c:v>
                </c:pt>
                <c:pt idx="4">
                  <c:v>Columbus</c:v>
                </c:pt>
                <c:pt idx="5">
                  <c:v>Dallas</c:v>
                </c:pt>
                <c:pt idx="6">
                  <c:v>Denver</c:v>
                </c:pt>
                <c:pt idx="7">
                  <c:v>Fresno</c:v>
                </c:pt>
                <c:pt idx="8">
                  <c:v>Kansas City</c:v>
                </c:pt>
                <c:pt idx="9">
                  <c:v>Las Vegas</c:v>
                </c:pt>
                <c:pt idx="10">
                  <c:v>Long Beach</c:v>
                </c:pt>
                <c:pt idx="11">
                  <c:v>Mesa</c:v>
                </c:pt>
                <c:pt idx="12">
                  <c:v>Nashville</c:v>
                </c:pt>
                <c:pt idx="13">
                  <c:v>Oakland</c:v>
                </c:pt>
                <c:pt idx="14">
                  <c:v>Philadelphia</c:v>
                </c:pt>
                <c:pt idx="15">
                  <c:v>San Francisco</c:v>
                </c:pt>
                <c:pt idx="16">
                  <c:v>Seattle</c:v>
                </c:pt>
                <c:pt idx="17">
                  <c:v>Tampa</c:v>
                </c:pt>
                <c:pt idx="18">
                  <c:v>Washington</c:v>
                </c:pt>
                <c:pt idx="19">
                  <c:v>Wichita</c:v>
                </c:pt>
              </c:strCache>
            </c:strRef>
          </c:cat>
          <c:val>
            <c:numRef>
              <c:f>'AVERAGE BMI AND AGE BY REGION'!$C$4:$C$24</c:f>
              <c:numCache>
                <c:formatCode>General</c:formatCode>
                <c:ptCount val="20"/>
                <c:pt idx="0">
                  <c:v>47</c:v>
                </c:pt>
                <c:pt idx="1">
                  <c:v>40</c:v>
                </c:pt>
                <c:pt idx="2">
                  <c:v>50</c:v>
                </c:pt>
                <c:pt idx="3">
                  <c:v>50</c:v>
                </c:pt>
                <c:pt idx="4">
                  <c:v>43</c:v>
                </c:pt>
                <c:pt idx="5">
                  <c:v>47</c:v>
                </c:pt>
                <c:pt idx="6">
                  <c:v>46</c:v>
                </c:pt>
                <c:pt idx="7">
                  <c:v>45</c:v>
                </c:pt>
                <c:pt idx="8">
                  <c:v>51</c:v>
                </c:pt>
                <c:pt idx="9">
                  <c:v>52</c:v>
                </c:pt>
                <c:pt idx="10">
                  <c:v>46</c:v>
                </c:pt>
                <c:pt idx="11">
                  <c:v>48</c:v>
                </c:pt>
                <c:pt idx="12">
                  <c:v>49</c:v>
                </c:pt>
                <c:pt idx="13">
                  <c:v>49</c:v>
                </c:pt>
                <c:pt idx="14">
                  <c:v>45</c:v>
                </c:pt>
                <c:pt idx="15">
                  <c:v>48</c:v>
                </c:pt>
                <c:pt idx="16">
                  <c:v>41</c:v>
                </c:pt>
                <c:pt idx="17">
                  <c:v>53</c:v>
                </c:pt>
                <c:pt idx="18">
                  <c:v>44</c:v>
                </c:pt>
                <c:pt idx="19">
                  <c:v>48</c:v>
                </c:pt>
              </c:numCache>
            </c:numRef>
          </c:val>
          <c:smooth val="0"/>
          <c:extLst>
            <c:ext xmlns:c16="http://schemas.microsoft.com/office/drawing/2014/chart" uri="{C3380CC4-5D6E-409C-BE32-E72D297353CC}">
              <c16:uniqueId val="{00000001-39E3-469E-A500-E884A213D5D7}"/>
            </c:ext>
          </c:extLst>
        </c:ser>
        <c:dLbls>
          <c:showLegendKey val="0"/>
          <c:showVal val="0"/>
          <c:showCatName val="0"/>
          <c:showSerName val="0"/>
          <c:showPercent val="0"/>
          <c:showBubbleSize val="0"/>
        </c:dLbls>
        <c:smooth val="0"/>
        <c:axId val="1191399359"/>
        <c:axId val="1191401279"/>
      </c:lineChart>
      <c:catAx>
        <c:axId val="119139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3"/>
                  </a:solidFill>
                </a:ln>
                <a:solidFill>
                  <a:schemeClr val="accent3"/>
                </a:solidFill>
                <a:latin typeface="+mn-lt"/>
                <a:ea typeface="+mn-ea"/>
                <a:cs typeface="+mn-cs"/>
              </a:defRPr>
            </a:pPr>
            <a:endParaRPr lang="en-US"/>
          </a:p>
        </c:txPr>
        <c:crossAx val="1191401279"/>
        <c:crosses val="autoZero"/>
        <c:auto val="1"/>
        <c:lblAlgn val="ctr"/>
        <c:lblOffset val="100"/>
        <c:noMultiLvlLbl val="0"/>
      </c:catAx>
      <c:valAx>
        <c:axId val="1191401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3"/>
                  </a:solidFill>
                </a:ln>
                <a:solidFill>
                  <a:schemeClr val="accent3"/>
                </a:solidFill>
                <a:latin typeface="+mn-lt"/>
                <a:ea typeface="+mn-ea"/>
                <a:cs typeface="+mn-cs"/>
              </a:defRPr>
            </a:pPr>
            <a:endParaRPr lang="en-US"/>
          </a:p>
        </c:txPr>
        <c:crossAx val="11913993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solidFill>
                  <a:schemeClr val="accent3"/>
                </a:solidFill>
              </a:ln>
              <a:solidFill>
                <a:schemeClr val="accent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0" cap="flat" cmpd="sng" algn="ctr">
      <a:solidFill>
        <a:schemeClr val="tx1"/>
      </a:solidFill>
      <a:round/>
    </a:ln>
    <a:effectLst/>
  </c:spPr>
  <c:txPr>
    <a:bodyPr/>
    <a:lstStyle/>
    <a:p>
      <a:pPr>
        <a:defRPr>
          <a:ln>
            <a:solidFill>
              <a:schemeClr val="accent3"/>
            </a:solidFill>
          </a:ln>
          <a:solidFill>
            <a:schemeClr val="accent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[EXCEL PROJECT(AutoRecovered).xlsx]REGIONAL PATIENT DISTRIBUTION!PivotTable2</c:name>
    <c:fmtId val="27"/>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t>Regional</a:t>
            </a:r>
            <a:r>
              <a:rPr lang="en-US" baseline="0"/>
              <a:t> Patient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68728164032697"/>
          <c:y val="0.22945058178192301"/>
          <c:w val="0.85316630835406249"/>
          <c:h val="0.36798321607741569"/>
        </c:manualLayout>
      </c:layout>
      <c:barChart>
        <c:barDir val="col"/>
        <c:grouping val="clustered"/>
        <c:varyColors val="0"/>
        <c:ser>
          <c:idx val="0"/>
          <c:order val="0"/>
          <c:tx>
            <c:strRef>
              <c:f>'REGIONAL PATIENT DISTRIBUTION'!$B$3</c:f>
              <c:strCache>
                <c:ptCount val="1"/>
                <c:pt idx="0">
                  <c:v>Total</c:v>
                </c:pt>
              </c:strCache>
            </c:strRef>
          </c:tx>
          <c:spPr>
            <a:solidFill>
              <a:schemeClr val="accent3"/>
            </a:solidFill>
            <a:ln>
              <a:noFill/>
            </a:ln>
            <a:effectLst/>
          </c:spPr>
          <c:invertIfNegative val="0"/>
          <c:cat>
            <c:strRef>
              <c:f>'REGIONAL PATIENT DISTRIBUTION'!$A$4:$A$14</c:f>
              <c:strCache>
                <c:ptCount val="10"/>
                <c:pt idx="0">
                  <c:v>Arlington</c:v>
                </c:pt>
                <c:pt idx="1">
                  <c:v>Kansas City</c:v>
                </c:pt>
                <c:pt idx="2">
                  <c:v>Long Beach</c:v>
                </c:pt>
                <c:pt idx="3">
                  <c:v>Miami</c:v>
                </c:pt>
                <c:pt idx="4">
                  <c:v>New Orleans</c:v>
                </c:pt>
                <c:pt idx="5">
                  <c:v>Oakland</c:v>
                </c:pt>
                <c:pt idx="6">
                  <c:v>Tampa</c:v>
                </c:pt>
                <c:pt idx="7">
                  <c:v>Tulsa</c:v>
                </c:pt>
                <c:pt idx="8">
                  <c:v>Virginia Beach</c:v>
                </c:pt>
                <c:pt idx="9">
                  <c:v>Wichita</c:v>
                </c:pt>
              </c:strCache>
            </c:strRef>
          </c:cat>
          <c:val>
            <c:numRef>
              <c:f>'REGIONAL PATIENT DISTRIBUTION'!$B$4:$B$14</c:f>
              <c:numCache>
                <c:formatCode>General</c:formatCode>
                <c:ptCount val="10"/>
                <c:pt idx="0">
                  <c:v>44</c:v>
                </c:pt>
                <c:pt idx="1">
                  <c:v>37</c:v>
                </c:pt>
                <c:pt idx="2">
                  <c:v>39</c:v>
                </c:pt>
                <c:pt idx="3">
                  <c:v>38</c:v>
                </c:pt>
                <c:pt idx="4">
                  <c:v>46</c:v>
                </c:pt>
                <c:pt idx="5">
                  <c:v>41</c:v>
                </c:pt>
                <c:pt idx="6">
                  <c:v>43</c:v>
                </c:pt>
                <c:pt idx="7">
                  <c:v>42</c:v>
                </c:pt>
                <c:pt idx="8">
                  <c:v>40</c:v>
                </c:pt>
                <c:pt idx="9">
                  <c:v>45</c:v>
                </c:pt>
              </c:numCache>
            </c:numRef>
          </c:val>
          <c:extLst>
            <c:ext xmlns:c16="http://schemas.microsoft.com/office/drawing/2014/chart" uri="{C3380CC4-5D6E-409C-BE32-E72D297353CC}">
              <c16:uniqueId val="{00000000-5450-468A-83B8-02A6A646C08B}"/>
            </c:ext>
          </c:extLst>
        </c:ser>
        <c:dLbls>
          <c:showLegendKey val="0"/>
          <c:showVal val="0"/>
          <c:showCatName val="0"/>
          <c:showSerName val="0"/>
          <c:showPercent val="0"/>
          <c:showBubbleSize val="0"/>
        </c:dLbls>
        <c:gapWidth val="219"/>
        <c:overlap val="-27"/>
        <c:axId val="1788943871"/>
        <c:axId val="1788944351"/>
      </c:barChart>
      <c:catAx>
        <c:axId val="178894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788944351"/>
        <c:crosses val="autoZero"/>
        <c:auto val="1"/>
        <c:lblAlgn val="ctr"/>
        <c:lblOffset val="100"/>
        <c:noMultiLvlLbl val="0"/>
      </c:catAx>
      <c:valAx>
        <c:axId val="1788944351"/>
        <c:scaling>
          <c:orientation val="minMax"/>
        </c:scaling>
        <c:delete val="0"/>
        <c:axPos val="l"/>
        <c:numFmt formatCode="General" sourceLinked="1"/>
        <c:majorTickMark val="none"/>
        <c:minorTickMark val="none"/>
        <c:tickLblPos val="nextTo"/>
        <c:spPr>
          <a:noFill/>
          <a:ln>
            <a:noFill/>
          </a:ln>
          <a:effectLst/>
        </c:spPr>
        <c:txPr>
          <a:bodyPr rot="0" spcFirstLastPara="1" vertOverflow="ellipsis" wrap="square" anchor="ctr" anchorCtr="1"/>
          <a:lstStyle/>
          <a:p>
            <a:pPr>
              <a:defRPr sz="900" b="1" i="0" u="none" strike="noStrike" kern="1200" baseline="0">
                <a:solidFill>
                  <a:schemeClr val="tx2"/>
                </a:solidFill>
                <a:latin typeface="+mn-lt"/>
                <a:ea typeface="+mn-ea"/>
                <a:cs typeface="+mn-cs"/>
              </a:defRPr>
            </a:pPr>
            <a:endParaRPr lang="en-US"/>
          </a:p>
        </c:txPr>
        <c:crossAx val="1788943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194310</xdr:colOff>
      <xdr:row>4</xdr:row>
      <xdr:rowOff>144780</xdr:rowOff>
    </xdr:from>
    <xdr:to>
      <xdr:col>11</xdr:col>
      <xdr:colOff>499110</xdr:colOff>
      <xdr:row>19</xdr:row>
      <xdr:rowOff>144780</xdr:rowOff>
    </xdr:to>
    <xdr:graphicFrame macro="">
      <xdr:nvGraphicFramePr>
        <xdr:cNvPr id="2" name="Chart 1">
          <a:extLst>
            <a:ext uri="{FF2B5EF4-FFF2-40B4-BE49-F238E27FC236}">
              <a16:creationId xmlns:a16="http://schemas.microsoft.com/office/drawing/2014/main" id="{CB84BD66-1B06-A72E-884F-C2507CD3D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499110</xdr:colOff>
      <xdr:row>5</xdr:row>
      <xdr:rowOff>87630</xdr:rowOff>
    </xdr:from>
    <xdr:to>
      <xdr:col>9</xdr:col>
      <xdr:colOff>64770</xdr:colOff>
      <xdr:row>20</xdr:row>
      <xdr:rowOff>87630</xdr:rowOff>
    </xdr:to>
    <xdr:graphicFrame macro="">
      <xdr:nvGraphicFramePr>
        <xdr:cNvPr id="2" name="Chart 1">
          <a:extLst>
            <a:ext uri="{FF2B5EF4-FFF2-40B4-BE49-F238E27FC236}">
              <a16:creationId xmlns:a16="http://schemas.microsoft.com/office/drawing/2014/main" id="{A503299E-190E-E240-145C-F2E243339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242109</xdr:colOff>
      <xdr:row>9</xdr:row>
      <xdr:rowOff>79161</xdr:rowOff>
    </xdr:from>
    <xdr:to>
      <xdr:col>8</xdr:col>
      <xdr:colOff>0</xdr:colOff>
      <xdr:row>22</xdr:row>
      <xdr:rowOff>44084</xdr:rowOff>
    </xdr:to>
    <xdr:graphicFrame macro="">
      <xdr:nvGraphicFramePr>
        <xdr:cNvPr id="2" name="Chart 1">
          <a:extLst>
            <a:ext uri="{FF2B5EF4-FFF2-40B4-BE49-F238E27FC236}">
              <a16:creationId xmlns:a16="http://schemas.microsoft.com/office/drawing/2014/main" id="{261626DA-F183-C00F-8428-AAFBADB23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34290</xdr:colOff>
      <xdr:row>8</xdr:row>
      <xdr:rowOff>125730</xdr:rowOff>
    </xdr:from>
    <xdr:to>
      <xdr:col>5</xdr:col>
      <xdr:colOff>361950</xdr:colOff>
      <xdr:row>25</xdr:row>
      <xdr:rowOff>152400</xdr:rowOff>
    </xdr:to>
    <xdr:graphicFrame macro="">
      <xdr:nvGraphicFramePr>
        <xdr:cNvPr id="2" name="Chart 1">
          <a:extLst>
            <a:ext uri="{FF2B5EF4-FFF2-40B4-BE49-F238E27FC236}">
              <a16:creationId xmlns:a16="http://schemas.microsoft.com/office/drawing/2014/main" id="{F93FB6F2-87F0-5357-3265-C2C341595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3</xdr:row>
      <xdr:rowOff>121920</xdr:rowOff>
    </xdr:from>
    <xdr:to>
      <xdr:col>23</xdr:col>
      <xdr:colOff>304800</xdr:colOff>
      <xdr:row>22</xdr:row>
      <xdr:rowOff>60960</xdr:rowOff>
    </xdr:to>
    <xdr:graphicFrame macro="">
      <xdr:nvGraphicFramePr>
        <xdr:cNvPr id="2" name="Chart 1">
          <a:extLst>
            <a:ext uri="{FF2B5EF4-FFF2-40B4-BE49-F238E27FC236}">
              <a16:creationId xmlns:a16="http://schemas.microsoft.com/office/drawing/2014/main" id="{92971E82-76F7-6D23-EE43-36F44BC70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573741</xdr:colOff>
      <xdr:row>7</xdr:row>
      <xdr:rowOff>44824</xdr:rowOff>
    </xdr:from>
    <xdr:to>
      <xdr:col>12</xdr:col>
      <xdr:colOff>528918</xdr:colOff>
      <xdr:row>21</xdr:row>
      <xdr:rowOff>75755</xdr:rowOff>
    </xdr:to>
    <xdr:graphicFrame macro="">
      <xdr:nvGraphicFramePr>
        <xdr:cNvPr id="5" name="Chart 4">
          <a:extLst>
            <a:ext uri="{FF2B5EF4-FFF2-40B4-BE49-F238E27FC236}">
              <a16:creationId xmlns:a16="http://schemas.microsoft.com/office/drawing/2014/main" id="{01296E8C-95F6-4D57-9360-E3F42C9AF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89647</xdr:colOff>
      <xdr:row>21</xdr:row>
      <xdr:rowOff>107577</xdr:rowOff>
    </xdr:from>
    <xdr:to>
      <xdr:col>16</xdr:col>
      <xdr:colOff>49876</xdr:colOff>
      <xdr:row>36</xdr:row>
      <xdr:rowOff>98612</xdr:rowOff>
    </xdr:to>
    <xdr:graphicFrame macro="">
      <xdr:nvGraphicFramePr>
        <xdr:cNvPr id="6" name="Chart 5">
          <a:extLst>
            <a:ext uri="{FF2B5EF4-FFF2-40B4-BE49-F238E27FC236}">
              <a16:creationId xmlns:a16="http://schemas.microsoft.com/office/drawing/2014/main" id="{D917E2D3-E9DC-4FCD-8861-B2D37EB67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493059</xdr:colOff>
      <xdr:row>21</xdr:row>
      <xdr:rowOff>98612</xdr:rowOff>
    </xdr:from>
    <xdr:to>
      <xdr:col>9</xdr:col>
      <xdr:colOff>591671</xdr:colOff>
      <xdr:row>36</xdr:row>
      <xdr:rowOff>161365</xdr:rowOff>
    </xdr:to>
    <xdr:graphicFrame macro="">
      <xdr:nvGraphicFramePr>
        <xdr:cNvPr id="7" name="Chart 6">
          <a:extLst>
            <a:ext uri="{FF2B5EF4-FFF2-40B4-BE49-F238E27FC236}">
              <a16:creationId xmlns:a16="http://schemas.microsoft.com/office/drawing/2014/main" id="{DF5CD174-B10C-4BEE-B50C-883866DF6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136711</xdr:colOff>
      <xdr:row>21</xdr:row>
      <xdr:rowOff>89647</xdr:rowOff>
    </xdr:from>
    <xdr:to>
      <xdr:col>23</xdr:col>
      <xdr:colOff>358588</xdr:colOff>
      <xdr:row>36</xdr:row>
      <xdr:rowOff>62753</xdr:rowOff>
    </xdr:to>
    <xdr:graphicFrame macro="">
      <xdr:nvGraphicFramePr>
        <xdr:cNvPr id="8" name="Chart 7">
          <a:extLst>
            <a:ext uri="{FF2B5EF4-FFF2-40B4-BE49-F238E27FC236}">
              <a16:creationId xmlns:a16="http://schemas.microsoft.com/office/drawing/2014/main" id="{FABBBF7D-7F17-4011-AA93-5F73FA215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44824</xdr:colOff>
      <xdr:row>0</xdr:row>
      <xdr:rowOff>340658</xdr:rowOff>
    </xdr:from>
    <xdr:to>
      <xdr:col>3</xdr:col>
      <xdr:colOff>376518</xdr:colOff>
      <xdr:row>38</xdr:row>
      <xdr:rowOff>93830</xdr:rowOff>
    </xdr:to>
    <xdr:sp macro="" textlink="">
      <xdr:nvSpPr>
        <xdr:cNvPr id="10" name="Flowchart: Alternate Process 9">
          <a:extLst>
            <a:ext uri="{FF2B5EF4-FFF2-40B4-BE49-F238E27FC236}">
              <a16:creationId xmlns:a16="http://schemas.microsoft.com/office/drawing/2014/main" id="{AE4A2001-FBEF-D1AA-9A67-CE61EE98B141}"/>
            </a:ext>
          </a:extLst>
        </xdr:cNvPr>
        <xdr:cNvSpPr/>
      </xdr:nvSpPr>
      <xdr:spPr>
        <a:xfrm>
          <a:off x="44824" y="340658"/>
          <a:ext cx="2160494" cy="7319384"/>
        </a:xfrm>
        <a:prstGeom prst="flowChartAlternate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35860</xdr:colOff>
      <xdr:row>7</xdr:row>
      <xdr:rowOff>44823</xdr:rowOff>
    </xdr:from>
    <xdr:to>
      <xdr:col>21</xdr:col>
      <xdr:colOff>152400</xdr:colOff>
      <xdr:row>21</xdr:row>
      <xdr:rowOff>44822</xdr:rowOff>
    </xdr:to>
    <xdr:graphicFrame macro="">
      <xdr:nvGraphicFramePr>
        <xdr:cNvPr id="4" name="Chart 3">
          <a:extLst>
            <a:ext uri="{FF2B5EF4-FFF2-40B4-BE49-F238E27FC236}">
              <a16:creationId xmlns:a16="http://schemas.microsoft.com/office/drawing/2014/main" id="{AFD818D7-2F19-4E2F-B378-124277E62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161363</xdr:colOff>
      <xdr:row>7</xdr:row>
      <xdr:rowOff>35860</xdr:rowOff>
    </xdr:from>
    <xdr:to>
      <xdr:col>3</xdr:col>
      <xdr:colOff>233081</xdr:colOff>
      <xdr:row>12</xdr:row>
      <xdr:rowOff>71719</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4E82E358-C280-B31E-AF44-0DF4D24A7D7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1363" y="1506072"/>
              <a:ext cx="1900518" cy="932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153745</xdr:colOff>
      <xdr:row>1</xdr:row>
      <xdr:rowOff>48411</xdr:rowOff>
    </xdr:from>
    <xdr:to>
      <xdr:col>3</xdr:col>
      <xdr:colOff>233083</xdr:colOff>
      <xdr:row>6</xdr:row>
      <xdr:rowOff>152402</xdr:rowOff>
    </xdr:to>
    <mc:AlternateContent xmlns:mc="http://schemas.openxmlformats.org/markup-compatibility/2006">
      <mc:Choice xmlns:a14="http://schemas.microsoft.com/office/drawing/2010/main" Requires="a14">
        <xdr:graphicFrame macro="">
          <xdr:nvGraphicFramePr>
            <xdr:cNvPr id="12" name="Smoking Status">
              <a:extLst>
                <a:ext uri="{FF2B5EF4-FFF2-40B4-BE49-F238E27FC236}">
                  <a16:creationId xmlns:a16="http://schemas.microsoft.com/office/drawing/2014/main" id="{6CE4B9EE-FA40-ED7F-A742-3FBB4640361B}"/>
                </a:ext>
              </a:extLst>
            </xdr:cNvPr>
            <xdr:cNvGraphicFramePr/>
          </xdr:nvGraphicFramePr>
          <xdr:xfrm>
            <a:off x="0" y="0"/>
            <a:ext cx="0" cy="0"/>
          </xdr:xfrm>
          <a:graphic>
            <a:graphicData uri="http://schemas.microsoft.com/office/drawing/2010/slicer">
              <sle:slicer xmlns:sle="http://schemas.microsoft.com/office/drawing/2010/slicer" name="Smoking Status"/>
            </a:graphicData>
          </a:graphic>
        </xdr:graphicFrame>
      </mc:Choice>
      <mc:Fallback>
        <xdr:sp macro="" textlink="">
          <xdr:nvSpPr>
            <xdr:cNvPr id="0" name=""/>
            <xdr:cNvSpPr>
              <a:spLocks noTextEdit="1"/>
            </xdr:cNvSpPr>
          </xdr:nvSpPr>
          <xdr:spPr>
            <a:xfrm>
              <a:off x="153745" y="442858"/>
              <a:ext cx="1908138" cy="1000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157482</xdr:colOff>
      <xdr:row>12</xdr:row>
      <xdr:rowOff>172866</xdr:rowOff>
    </xdr:from>
    <xdr:to>
      <xdr:col>3</xdr:col>
      <xdr:colOff>240854</xdr:colOff>
      <xdr:row>23</xdr:row>
      <xdr:rowOff>53787</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584555CD-453C-77E1-DA0E-52F6673829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7482" y="2539548"/>
              <a:ext cx="1912172" cy="1853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176903</xdr:colOff>
      <xdr:row>31</xdr:row>
      <xdr:rowOff>15388</xdr:rowOff>
    </xdr:from>
    <xdr:to>
      <xdr:col>3</xdr:col>
      <xdr:colOff>259378</xdr:colOff>
      <xdr:row>38</xdr:row>
      <xdr:rowOff>14941</xdr:rowOff>
    </xdr:to>
    <mc:AlternateContent xmlns:mc="http://schemas.openxmlformats.org/markup-compatibility/2006">
      <mc:Choice xmlns:a14="http://schemas.microsoft.com/office/drawing/2010/main" Requires="a14">
        <xdr:graphicFrame macro="">
          <xdr:nvGraphicFramePr>
            <xdr:cNvPr id="15" name="BMI CATEGORY">
              <a:extLst>
                <a:ext uri="{FF2B5EF4-FFF2-40B4-BE49-F238E27FC236}">
                  <a16:creationId xmlns:a16="http://schemas.microsoft.com/office/drawing/2014/main" id="{3DB7442A-661B-8A8D-3ABA-EAD8DDB30958}"/>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dr:sp macro="" textlink="">
          <xdr:nvSpPr>
            <xdr:cNvPr id="0" name=""/>
            <xdr:cNvSpPr>
              <a:spLocks noTextEdit="1"/>
            </xdr:cNvSpPr>
          </xdr:nvSpPr>
          <xdr:spPr>
            <a:xfrm>
              <a:off x="176903" y="5788659"/>
              <a:ext cx="1911275" cy="1254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180039</xdr:colOff>
      <xdr:row>24</xdr:row>
      <xdr:rowOff>29285</xdr:rowOff>
    </xdr:from>
    <xdr:to>
      <xdr:col>3</xdr:col>
      <xdr:colOff>284479</xdr:colOff>
      <xdr:row>30</xdr:row>
      <xdr:rowOff>117141</xdr:rowOff>
    </xdr:to>
    <mc:AlternateContent xmlns:mc="http://schemas.openxmlformats.org/markup-compatibility/2006">
      <mc:Choice xmlns:a14="http://schemas.microsoft.com/office/drawing/2010/main" Requires="a14">
        <xdr:graphicFrame macro="">
          <xdr:nvGraphicFramePr>
            <xdr:cNvPr id="16" name="Age Group">
              <a:extLst>
                <a:ext uri="{FF2B5EF4-FFF2-40B4-BE49-F238E27FC236}">
                  <a16:creationId xmlns:a16="http://schemas.microsoft.com/office/drawing/2014/main" id="{6BB0EB8C-AAE3-632C-B91B-EDD96D242CC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80039" y="4547497"/>
              <a:ext cx="1933240" cy="1163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286871</xdr:colOff>
      <xdr:row>1</xdr:row>
      <xdr:rowOff>62753</xdr:rowOff>
    </xdr:from>
    <xdr:to>
      <xdr:col>5</xdr:col>
      <xdr:colOff>98612</xdr:colOff>
      <xdr:row>3</xdr:row>
      <xdr:rowOff>125506</xdr:rowOff>
    </xdr:to>
    <xdr:pic>
      <xdr:nvPicPr>
        <xdr:cNvPr id="3" name="Graphic 2" descr="User with solid fill">
          <a:extLst>
            <a:ext uri="{FF2B5EF4-FFF2-40B4-BE49-F238E27FC236}">
              <a16:creationId xmlns:a16="http://schemas.microsoft.com/office/drawing/2014/main" id="{F935E255-B910-5512-EEAE-9A97D91C621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25271" y="457200"/>
          <a:ext cx="421341" cy="421341"/>
        </a:xfrm>
        <a:prstGeom prst="rect">
          <a:avLst/>
        </a:prstGeom>
      </xdr:spPr>
    </xdr:pic>
    <xdr:clientData/>
  </xdr:twoCellAnchor>
  <xdr:twoCellAnchor editAs="oneCell">
    <xdr:from>
      <xdr:col>8</xdr:col>
      <xdr:colOff>0</xdr:colOff>
      <xdr:row>1</xdr:row>
      <xdr:rowOff>116541</xdr:rowOff>
    </xdr:from>
    <xdr:to>
      <xdr:col>8</xdr:col>
      <xdr:colOff>340659</xdr:colOff>
      <xdr:row>3</xdr:row>
      <xdr:rowOff>98612</xdr:rowOff>
    </xdr:to>
    <xdr:pic>
      <xdr:nvPicPr>
        <xdr:cNvPr id="14" name="Graphic 13" descr="Dollar with solid fill">
          <a:extLst>
            <a:ext uri="{FF2B5EF4-FFF2-40B4-BE49-F238E27FC236}">
              <a16:creationId xmlns:a16="http://schemas.microsoft.com/office/drawing/2014/main" id="{EC0DBA96-2076-CE8B-02B9-34FE19C9690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876800" y="510988"/>
          <a:ext cx="340659" cy="340659"/>
        </a:xfrm>
        <a:prstGeom prst="rect">
          <a:avLst/>
        </a:prstGeom>
      </xdr:spPr>
    </xdr:pic>
    <xdr:clientData/>
  </xdr:twoCellAnchor>
  <xdr:twoCellAnchor editAs="oneCell">
    <xdr:from>
      <xdr:col>12</xdr:col>
      <xdr:colOff>233082</xdr:colOff>
      <xdr:row>1</xdr:row>
      <xdr:rowOff>98612</xdr:rowOff>
    </xdr:from>
    <xdr:to>
      <xdr:col>13</xdr:col>
      <xdr:colOff>17929</xdr:colOff>
      <xdr:row>3</xdr:row>
      <xdr:rowOff>134471</xdr:rowOff>
    </xdr:to>
    <xdr:pic>
      <xdr:nvPicPr>
        <xdr:cNvPr id="18" name="Graphic 17" descr="Heart with pulse with solid fill">
          <a:extLst>
            <a:ext uri="{FF2B5EF4-FFF2-40B4-BE49-F238E27FC236}">
              <a16:creationId xmlns:a16="http://schemas.microsoft.com/office/drawing/2014/main" id="{80E9EA56-725A-BD4D-F069-7FB553FE784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548282" y="493059"/>
          <a:ext cx="394447" cy="394447"/>
        </a:xfrm>
        <a:prstGeom prst="rect">
          <a:avLst/>
        </a:prstGeom>
      </xdr:spPr>
    </xdr:pic>
    <xdr:clientData/>
  </xdr:twoCellAnchor>
  <xdr:twoCellAnchor editAs="oneCell">
    <xdr:from>
      <xdr:col>8</xdr:col>
      <xdr:colOff>412376</xdr:colOff>
      <xdr:row>4</xdr:row>
      <xdr:rowOff>8965</xdr:rowOff>
    </xdr:from>
    <xdr:to>
      <xdr:col>9</xdr:col>
      <xdr:colOff>304800</xdr:colOff>
      <xdr:row>6</xdr:row>
      <xdr:rowOff>152400</xdr:rowOff>
    </xdr:to>
    <xdr:pic>
      <xdr:nvPicPr>
        <xdr:cNvPr id="20" name="Graphic 19" descr="Marker with solid fill">
          <a:extLst>
            <a:ext uri="{FF2B5EF4-FFF2-40B4-BE49-F238E27FC236}">
              <a16:creationId xmlns:a16="http://schemas.microsoft.com/office/drawing/2014/main" id="{CBF156BE-0646-58FD-1D4B-5BA5455BBA9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289176" y="941294"/>
          <a:ext cx="502024" cy="502024"/>
        </a:xfrm>
        <a:prstGeom prst="rect">
          <a:avLst/>
        </a:prstGeom>
      </xdr:spPr>
    </xdr:pic>
    <xdr:clientData/>
  </xdr:twoCellAnchor>
  <xdr:twoCellAnchor editAs="oneCell">
    <xdr:from>
      <xdr:col>14</xdr:col>
      <xdr:colOff>421341</xdr:colOff>
      <xdr:row>4</xdr:row>
      <xdr:rowOff>26895</xdr:rowOff>
    </xdr:from>
    <xdr:to>
      <xdr:col>15</xdr:col>
      <xdr:colOff>313765</xdr:colOff>
      <xdr:row>6</xdr:row>
      <xdr:rowOff>170330</xdr:rowOff>
    </xdr:to>
    <xdr:pic>
      <xdr:nvPicPr>
        <xdr:cNvPr id="21" name="Graphic 20" descr="Marker with solid fill">
          <a:extLst>
            <a:ext uri="{FF2B5EF4-FFF2-40B4-BE49-F238E27FC236}">
              <a16:creationId xmlns:a16="http://schemas.microsoft.com/office/drawing/2014/main" id="{81BE7833-7B0E-411A-A5C6-50CB611FD0F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955741" y="959224"/>
          <a:ext cx="502024" cy="502024"/>
        </a:xfrm>
        <a:prstGeom prst="rect">
          <a:avLst/>
        </a:prstGeom>
      </xdr:spPr>
    </xdr:pic>
    <xdr:clientData/>
  </xdr:twoCellAnchor>
  <xdr:twoCellAnchor editAs="oneCell">
    <xdr:from>
      <xdr:col>20</xdr:col>
      <xdr:colOff>340659</xdr:colOff>
      <xdr:row>4</xdr:row>
      <xdr:rowOff>53789</xdr:rowOff>
    </xdr:from>
    <xdr:to>
      <xdr:col>21</xdr:col>
      <xdr:colOff>215153</xdr:colOff>
      <xdr:row>7</xdr:row>
      <xdr:rowOff>0</xdr:rowOff>
    </xdr:to>
    <xdr:pic>
      <xdr:nvPicPr>
        <xdr:cNvPr id="23" name="Graphic 22" descr="Downward trend graph with solid fill">
          <a:extLst>
            <a:ext uri="{FF2B5EF4-FFF2-40B4-BE49-F238E27FC236}">
              <a16:creationId xmlns:a16="http://schemas.microsoft.com/office/drawing/2014/main" id="{4CCD8E4F-7C16-E01A-84A4-36CA622EC5D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532659" y="986118"/>
          <a:ext cx="484094" cy="48409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a Ansari" refreshedDate="45806.822470949075" createdVersion="8" refreshedVersion="8" minRefreshableVersion="3" recordCount="48" xr:uid="{AA126766-E824-4824-B89B-A4BE614D26ED}">
  <cacheSource type="worksheet">
    <worksheetSource ref="A1:K1048576" sheet="clean data"/>
  </cacheSource>
  <cacheFields count="11">
    <cacheField name="Patient ID" numFmtId="0">
      <sharedItems containsString="0" containsBlank="1" containsNumber="1" containsInteger="1" minValue="1" maxValue="46"/>
    </cacheField>
    <cacheField name="Name" numFmtId="0">
      <sharedItems containsBlank="1"/>
    </cacheField>
    <cacheField name="Age" numFmtId="0">
      <sharedItems containsString="0" containsBlank="1" containsNumber="1" containsInteger="1" minValue="27" maxValue="53"/>
    </cacheField>
    <cacheField name="Gender" numFmtId="0">
      <sharedItems containsBlank="1" count="3">
        <s v="Male"/>
        <s v="Female"/>
        <m/>
      </sharedItems>
    </cacheField>
    <cacheField name="BMI" numFmtId="0">
      <sharedItems containsString="0" containsBlank="1" containsNumber="1" minValue="22.3" maxValue="35.299999999999997"/>
    </cacheField>
    <cacheField name="Children" numFmtId="0">
      <sharedItems containsString="0" containsBlank="1" containsNumber="1" containsInteger="1" minValue="0" maxValue="3" count="5">
        <n v="0"/>
        <n v="2"/>
        <n v="3"/>
        <n v="1"/>
        <m/>
      </sharedItems>
    </cacheField>
    <cacheField name="Smoking Status" numFmtId="0">
      <sharedItems containsBlank="1" count="3">
        <s v="Non-Smoker"/>
        <s v="Smoker"/>
        <m/>
      </sharedItems>
    </cacheField>
    <cacheField name="Region" numFmtId="0">
      <sharedItems containsBlank="1" count="47">
        <s v="New York"/>
        <s v="Los Angeles"/>
        <s v="Chicago"/>
        <s v="Houston"/>
        <s v="Phoenix"/>
        <s v="Philadelphia"/>
        <s v="San Antonio"/>
        <s v="San Diego"/>
        <s v="Dallas"/>
        <s v="San Jose"/>
        <s v="Austin"/>
        <s v="Jacksonville"/>
        <s v="San Francisco"/>
        <s v="Indianapolis"/>
        <s v="Columbus"/>
        <s v="Fort Worth"/>
        <s v="Charlotte"/>
        <s v="Seattle"/>
        <s v="Denver"/>
        <s v="Detroit"/>
        <s v="Washington"/>
        <s v="Boston"/>
        <s v="Nashville"/>
        <s v="Memphis"/>
        <s v="Portland"/>
        <s v="Oklahoma City"/>
        <s v="Las Vegas"/>
        <s v="Louisville"/>
        <s v="Baltimore"/>
        <s v="Milwaukee"/>
        <s v="Albuquerque"/>
        <s v="Tucson"/>
        <s v="Fresno"/>
        <s v="Sacramento"/>
        <s v="Mesa"/>
        <s v="Atlanta"/>
        <s v="Kansas City"/>
        <s v="Miami"/>
        <s v="Long Beach"/>
        <s v="Virginia Beach"/>
        <s v="Oakland"/>
        <s v="Tulsa"/>
        <s v="Tampa"/>
        <s v="Arlington"/>
        <s v="Wichita"/>
        <s v="New Orleans"/>
        <m/>
      </sharedItems>
    </cacheField>
    <cacheField name="Charges" numFmtId="0">
      <sharedItems containsString="0" containsBlank="1" containsNumber="1" containsInteger="1" minValue="9600" maxValue="32120" count="46">
        <n v="16450"/>
        <n v="21600"/>
        <n v="21080"/>
        <n v="10080"/>
        <n v="17640"/>
        <n v="18000"/>
        <n v="11520"/>
        <n v="16120"/>
        <n v="19720"/>
        <n v="11100"/>
        <n v="18920"/>
        <n v="11020"/>
        <n v="18600"/>
        <n v="15960"/>
        <n v="17550"/>
        <n v="10540"/>
        <n v="20100"/>
        <n v="19600"/>
        <n v="17280"/>
        <n v="12210"/>
        <n v="28980"/>
        <n v="25760"/>
        <n v="9600"/>
        <n v="30550"/>
        <n v="13050"/>
        <n v="23760"/>
        <n v="13940"/>
        <n v="21830"/>
        <n v="19270"/>
        <n v="22400"/>
        <n v="16100"/>
        <n v="25080"/>
        <n v="14430"/>
        <n v="30530"/>
        <n v="9900"/>
        <n v="22200"/>
        <n v="15480"/>
        <n v="24480"/>
        <n v="12000"/>
        <n v="28060"/>
        <n v="14060"/>
        <n v="32120"/>
        <n v="15640"/>
        <n v="20880"/>
        <n v="11840"/>
        <m/>
      </sharedItems>
    </cacheField>
    <cacheField name="BMI CATEGORY" numFmtId="0">
      <sharedItems containsBlank="1" count="4">
        <s v="Overweight"/>
        <s v="Obese"/>
        <s v="Normal"/>
        <m/>
      </sharedItems>
    </cacheField>
    <cacheField name="Age Group" numFmtId="0">
      <sharedItems containsBlank="1" count="4">
        <s v="JR"/>
        <s v="SR"/>
        <s v="Adult"/>
        <m/>
      </sharedItems>
    </cacheField>
  </cacheFields>
  <extLst>
    <ext xmlns:x14="http://schemas.microsoft.com/office/spreadsheetml/2009/9/main" uri="{725AE2AE-9491-48be-B2B4-4EB974FC3084}">
      <x14:pivotCacheDefinition pivotCacheId="3698675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a Ansari" refreshedDate="45806.822471180552" createdVersion="8" refreshedVersion="8" minRefreshableVersion="3" recordCount="46" xr:uid="{613CB9D9-8D7B-4FB2-8FD3-E6CF8AF88DD4}">
  <cacheSource type="worksheet">
    <worksheetSource ref="A1:K47" sheet="clean data"/>
  </cacheSource>
  <cacheFields count="11">
    <cacheField name="Patient ID" numFmtId="0">
      <sharedItems containsSemiMixedTypes="0" containsString="0" containsNumber="1" containsInteger="1" minValue="1" maxValue="46"/>
    </cacheField>
    <cacheField name="Name" numFmtId="0">
      <sharedItems/>
    </cacheField>
    <cacheField name="Age" numFmtId="0">
      <sharedItems containsSemiMixedTypes="0" containsString="0" containsNumber="1" containsInteger="1" minValue="27" maxValue="53"/>
    </cacheField>
    <cacheField name="Gender" numFmtId="0">
      <sharedItems/>
    </cacheField>
    <cacheField name="BMI" numFmtId="0">
      <sharedItems containsSemiMixedTypes="0" containsString="0" containsNumber="1" minValue="22.3" maxValue="35.299999999999997"/>
    </cacheField>
    <cacheField name="Children" numFmtId="0">
      <sharedItems containsSemiMixedTypes="0" containsString="0" containsNumber="1" containsInteger="1" minValue="0" maxValue="3"/>
    </cacheField>
    <cacheField name="Smoking Status" numFmtId="0">
      <sharedItems/>
    </cacheField>
    <cacheField name="Region" numFmtId="0">
      <sharedItems count="46">
        <s v="New York"/>
        <s v="Los Angeles"/>
        <s v="Chicago"/>
        <s v="Houston"/>
        <s v="Phoenix"/>
        <s v="Philadelphia"/>
        <s v="San Antonio"/>
        <s v="San Diego"/>
        <s v="Dallas"/>
        <s v="San Jose"/>
        <s v="Austin"/>
        <s v="Jacksonville"/>
        <s v="San Francisco"/>
        <s v="Indianapolis"/>
        <s v="Columbus"/>
        <s v="Fort Worth"/>
        <s v="Charlotte"/>
        <s v="Seattle"/>
        <s v="Denver"/>
        <s v="Detroit"/>
        <s v="Washington"/>
        <s v="Boston"/>
        <s v="Nashville"/>
        <s v="Memphis"/>
        <s v="Portland"/>
        <s v="Oklahoma City"/>
        <s v="Las Vegas"/>
        <s v="Louisville"/>
        <s v="Baltimore"/>
        <s v="Milwaukee"/>
        <s v="Albuquerque"/>
        <s v="Tucson"/>
        <s v="Fresno"/>
        <s v="Sacramento"/>
        <s v="Mesa"/>
        <s v="Atlanta"/>
        <s v="Kansas City"/>
        <s v="Miami"/>
        <s v="Long Beach"/>
        <s v="Virginia Beach"/>
        <s v="Oakland"/>
        <s v="Tulsa"/>
        <s v="Tampa"/>
        <s v="Arlington"/>
        <s v="Wichita"/>
        <s v="New Orleans"/>
      </sharedItems>
    </cacheField>
    <cacheField name="Charges" numFmtId="0">
      <sharedItems containsSemiMixedTypes="0" containsString="0" containsNumber="1" containsInteger="1" minValue="9600" maxValue="32120"/>
    </cacheField>
    <cacheField name="BMI CATEGORY" numFmtId="0">
      <sharedItems/>
    </cacheField>
    <cacheField name="Age Grou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
    <s v="John Smith"/>
    <n v="35"/>
    <x v="0"/>
    <n v="29.5"/>
    <x v="0"/>
    <x v="0"/>
    <x v="0"/>
    <x v="0"/>
    <x v="0"/>
    <x v="0"/>
  </r>
  <r>
    <n v="2"/>
    <s v="Emily Johnson"/>
    <n v="42"/>
    <x v="1"/>
    <n v="26.8"/>
    <x v="1"/>
    <x v="0"/>
    <x v="1"/>
    <x v="1"/>
    <x v="0"/>
    <x v="0"/>
  </r>
  <r>
    <n v="3"/>
    <s v="Michael Williams"/>
    <n v="50"/>
    <x v="0"/>
    <n v="31.2"/>
    <x v="2"/>
    <x v="1"/>
    <x v="2"/>
    <x v="2"/>
    <x v="1"/>
    <x v="1"/>
  </r>
  <r>
    <n v="4"/>
    <s v="Sarah Brown"/>
    <n v="28"/>
    <x v="1"/>
    <n v="22.3"/>
    <x v="3"/>
    <x v="0"/>
    <x v="3"/>
    <x v="3"/>
    <x v="2"/>
    <x v="2"/>
  </r>
  <r>
    <n v="5"/>
    <s v="David Jones"/>
    <n v="39"/>
    <x v="0"/>
    <n v="28.1"/>
    <x v="1"/>
    <x v="0"/>
    <x v="4"/>
    <x v="4"/>
    <x v="0"/>
    <x v="0"/>
  </r>
  <r>
    <n v="6"/>
    <s v="Jennifer Martinez"/>
    <n v="45"/>
    <x v="1"/>
    <n v="29.9"/>
    <x v="0"/>
    <x v="0"/>
    <x v="5"/>
    <x v="5"/>
    <x v="0"/>
    <x v="0"/>
  </r>
  <r>
    <n v="7"/>
    <s v="Daniel Anderson"/>
    <n v="33"/>
    <x v="0"/>
    <n v="25.5"/>
    <x v="3"/>
    <x v="0"/>
    <x v="6"/>
    <x v="6"/>
    <x v="0"/>
    <x v="0"/>
  </r>
  <r>
    <n v="8"/>
    <s v="Jessica Wilson"/>
    <n v="37"/>
    <x v="1"/>
    <n v="27.4"/>
    <x v="1"/>
    <x v="1"/>
    <x v="7"/>
    <x v="7"/>
    <x v="0"/>
    <x v="0"/>
  </r>
  <r>
    <n v="9"/>
    <s v="Matthew Taylor"/>
    <n v="47"/>
    <x v="0"/>
    <n v="33"/>
    <x v="2"/>
    <x v="0"/>
    <x v="8"/>
    <x v="8"/>
    <x v="1"/>
    <x v="0"/>
  </r>
  <r>
    <n v="10"/>
    <s v="Emma Garcia"/>
    <n v="31"/>
    <x v="1"/>
    <n v="24.7"/>
    <x v="0"/>
    <x v="0"/>
    <x v="9"/>
    <x v="9"/>
    <x v="2"/>
    <x v="0"/>
  </r>
  <r>
    <n v="11"/>
    <s v="Christopher Rodriguez"/>
    <n v="40"/>
    <x v="0"/>
    <n v="30.5"/>
    <x v="1"/>
    <x v="0"/>
    <x v="10"/>
    <x v="10"/>
    <x v="1"/>
    <x v="0"/>
  </r>
  <r>
    <n v="12"/>
    <s v="Olivia Hernandez"/>
    <n v="29"/>
    <x v="1"/>
    <n v="23.9"/>
    <x v="3"/>
    <x v="0"/>
    <x v="11"/>
    <x v="11"/>
    <x v="2"/>
    <x v="2"/>
  </r>
  <r>
    <n v="13"/>
    <s v="James Martinez"/>
    <n v="48"/>
    <x v="0"/>
    <n v="32.700000000000003"/>
    <x v="2"/>
    <x v="1"/>
    <x v="12"/>
    <x v="12"/>
    <x v="1"/>
    <x v="0"/>
  </r>
  <r>
    <n v="14"/>
    <s v="Sophia Thompson"/>
    <n v="36"/>
    <x v="1"/>
    <n v="28.3"/>
    <x v="0"/>
    <x v="0"/>
    <x v="13"/>
    <x v="13"/>
    <x v="0"/>
    <x v="0"/>
  </r>
  <r>
    <n v="15"/>
    <s v="David Lopez"/>
    <n v="43"/>
    <x v="0"/>
    <n v="29.8"/>
    <x v="1"/>
    <x v="0"/>
    <x v="14"/>
    <x v="14"/>
    <x v="0"/>
    <x v="0"/>
  </r>
  <r>
    <n v="16"/>
    <s v="Isabella Perez"/>
    <n v="32"/>
    <x v="1"/>
    <n v="25.1"/>
    <x v="3"/>
    <x v="0"/>
    <x v="15"/>
    <x v="15"/>
    <x v="0"/>
    <x v="0"/>
  </r>
  <r>
    <n v="17"/>
    <s v="Daniel Scott"/>
    <n v="39"/>
    <x v="0"/>
    <n v="27.9"/>
    <x v="2"/>
    <x v="1"/>
    <x v="16"/>
    <x v="16"/>
    <x v="0"/>
    <x v="0"/>
  </r>
  <r>
    <n v="18"/>
    <s v="Amelia Moore"/>
    <n v="41"/>
    <x v="1"/>
    <n v="31.5"/>
    <x v="0"/>
    <x v="0"/>
    <x v="17"/>
    <x v="17"/>
    <x v="1"/>
    <x v="0"/>
  </r>
  <r>
    <n v="19"/>
    <s v="Michael Wilson"/>
    <n v="46"/>
    <x v="0"/>
    <n v="34.200000000000003"/>
    <x v="1"/>
    <x v="0"/>
    <x v="18"/>
    <x v="18"/>
    <x v="1"/>
    <x v="0"/>
  </r>
  <r>
    <n v="20"/>
    <s v="Mia Taylor"/>
    <n v="30"/>
    <x v="1"/>
    <n v="26"/>
    <x v="3"/>
    <x v="0"/>
    <x v="19"/>
    <x v="19"/>
    <x v="0"/>
    <x v="0"/>
  </r>
  <r>
    <n v="21"/>
    <s v="Ethan Harris"/>
    <n v="44"/>
    <x v="0"/>
    <n v="29.6"/>
    <x v="2"/>
    <x v="1"/>
    <x v="20"/>
    <x v="20"/>
    <x v="0"/>
    <x v="0"/>
  </r>
  <r>
    <n v="22"/>
    <s v="Ava Martin"/>
    <n v="35"/>
    <x v="1"/>
    <n v="28.8"/>
    <x v="0"/>
    <x v="0"/>
    <x v="21"/>
    <x v="19"/>
    <x v="0"/>
    <x v="0"/>
  </r>
  <r>
    <n v="23"/>
    <s v="Alexander King"/>
    <n v="49"/>
    <x v="0"/>
    <n v="33.799999999999997"/>
    <x v="1"/>
    <x v="0"/>
    <x v="22"/>
    <x v="21"/>
    <x v="1"/>
    <x v="0"/>
  </r>
  <r>
    <n v="24"/>
    <s v="Chloe Lee"/>
    <n v="34"/>
    <x v="1"/>
    <n v="25.9"/>
    <x v="3"/>
    <x v="0"/>
    <x v="23"/>
    <x v="22"/>
    <x v="0"/>
    <x v="0"/>
  </r>
  <r>
    <n v="25"/>
    <s v="William White"/>
    <n v="38"/>
    <x v="0"/>
    <n v="26.3"/>
    <x v="1"/>
    <x v="1"/>
    <x v="24"/>
    <x v="23"/>
    <x v="0"/>
    <x v="0"/>
  </r>
  <r>
    <n v="26"/>
    <s v="Abigail Allen"/>
    <n v="27"/>
    <x v="1"/>
    <n v="24.5"/>
    <x v="0"/>
    <x v="0"/>
    <x v="25"/>
    <x v="24"/>
    <x v="2"/>
    <x v="2"/>
  </r>
  <r>
    <n v="27"/>
    <s v="Ryan Hall"/>
    <n v="52"/>
    <x v="0"/>
    <n v="35.1"/>
    <x v="2"/>
    <x v="1"/>
    <x v="26"/>
    <x v="25"/>
    <x v="1"/>
    <x v="1"/>
  </r>
  <r>
    <n v="28"/>
    <s v="Harper Young"/>
    <n v="33"/>
    <x v="1"/>
    <n v="27.6"/>
    <x v="3"/>
    <x v="0"/>
    <x v="27"/>
    <x v="26"/>
    <x v="0"/>
    <x v="0"/>
  </r>
  <r>
    <n v="29"/>
    <s v="Benjamin Hernandez"/>
    <n v="50"/>
    <x v="0"/>
    <n v="31.8"/>
    <x v="1"/>
    <x v="0"/>
    <x v="28"/>
    <x v="27"/>
    <x v="1"/>
    <x v="1"/>
  </r>
  <r>
    <n v="30"/>
    <s v="Evelyn Garcia"/>
    <n v="39"/>
    <x v="1"/>
    <n v="29.2"/>
    <x v="0"/>
    <x v="0"/>
    <x v="29"/>
    <x v="28"/>
    <x v="0"/>
    <x v="0"/>
  </r>
  <r>
    <n v="31"/>
    <s v="Lucas Martinez"/>
    <n v="47"/>
    <x v="0"/>
    <n v="32.5"/>
    <x v="2"/>
    <x v="1"/>
    <x v="30"/>
    <x v="29"/>
    <x v="1"/>
    <x v="0"/>
  </r>
  <r>
    <n v="32"/>
    <s v="Zoe Scott"/>
    <n v="31"/>
    <x v="1"/>
    <n v="26.5"/>
    <x v="3"/>
    <x v="0"/>
    <x v="31"/>
    <x v="30"/>
    <x v="0"/>
    <x v="0"/>
  </r>
  <r>
    <n v="33"/>
    <s v="Aiden Adams"/>
    <n v="45"/>
    <x v="0"/>
    <n v="30.3"/>
    <x v="1"/>
    <x v="0"/>
    <x v="32"/>
    <x v="31"/>
    <x v="1"/>
    <x v="0"/>
  </r>
  <r>
    <n v="34"/>
    <s v="Nora Wood"/>
    <n v="37"/>
    <x v="1"/>
    <n v="28"/>
    <x v="0"/>
    <x v="0"/>
    <x v="33"/>
    <x v="32"/>
    <x v="0"/>
    <x v="0"/>
  </r>
  <r>
    <n v="35"/>
    <s v="Jackson Mitchell"/>
    <n v="48"/>
    <x v="0"/>
    <n v="33.5"/>
    <x v="2"/>
    <x v="1"/>
    <x v="34"/>
    <x v="33"/>
    <x v="1"/>
    <x v="0"/>
  </r>
  <r>
    <n v="36"/>
    <s v="Leah Price"/>
    <n v="29"/>
    <x v="1"/>
    <n v="25.3"/>
    <x v="3"/>
    <x v="0"/>
    <x v="35"/>
    <x v="34"/>
    <x v="0"/>
    <x v="2"/>
  </r>
  <r>
    <n v="37"/>
    <s v="Logan Carter"/>
    <n v="51"/>
    <x v="0"/>
    <n v="34.700000000000003"/>
    <x v="1"/>
    <x v="0"/>
    <x v="36"/>
    <x v="35"/>
    <x v="1"/>
    <x v="1"/>
  </r>
  <r>
    <n v="38"/>
    <s v="Avery Cooper"/>
    <n v="32"/>
    <x v="1"/>
    <n v="27.2"/>
    <x v="0"/>
    <x v="0"/>
    <x v="37"/>
    <x v="36"/>
    <x v="0"/>
    <x v="0"/>
  </r>
  <r>
    <n v="39"/>
    <s v="Henry Rivera"/>
    <n v="46"/>
    <x v="0"/>
    <n v="31"/>
    <x v="2"/>
    <x v="1"/>
    <x v="38"/>
    <x v="37"/>
    <x v="1"/>
    <x v="0"/>
  </r>
  <r>
    <n v="40"/>
    <s v="Ella Richardson"/>
    <n v="36"/>
    <x v="1"/>
    <n v="29.1"/>
    <x v="3"/>
    <x v="0"/>
    <x v="39"/>
    <x v="38"/>
    <x v="0"/>
    <x v="0"/>
  </r>
  <r>
    <n v="41"/>
    <s v="David Perez"/>
    <n v="49"/>
    <x v="0"/>
    <n v="32.799999999999997"/>
    <x v="1"/>
    <x v="0"/>
    <x v="40"/>
    <x v="39"/>
    <x v="1"/>
    <x v="0"/>
  </r>
  <r>
    <n v="42"/>
    <s v="Scarlett Ross"/>
    <n v="38"/>
    <x v="1"/>
    <n v="27.8"/>
    <x v="0"/>
    <x v="0"/>
    <x v="41"/>
    <x v="40"/>
    <x v="0"/>
    <x v="0"/>
  </r>
  <r>
    <n v="43"/>
    <s v="Jack Ward"/>
    <n v="53"/>
    <x v="0"/>
    <n v="35.299999999999997"/>
    <x v="2"/>
    <x v="1"/>
    <x v="42"/>
    <x v="41"/>
    <x v="1"/>
    <x v="1"/>
  </r>
  <r>
    <n v="44"/>
    <s v="Lily Morris"/>
    <n v="34"/>
    <x v="1"/>
    <n v="26.4"/>
    <x v="3"/>
    <x v="0"/>
    <x v="43"/>
    <x v="42"/>
    <x v="0"/>
    <x v="0"/>
  </r>
  <r>
    <n v="45"/>
    <s v="Lucas Baker"/>
    <n v="48"/>
    <x v="0"/>
    <n v="31.7"/>
    <x v="1"/>
    <x v="0"/>
    <x v="44"/>
    <x v="43"/>
    <x v="1"/>
    <x v="0"/>
  </r>
  <r>
    <n v="46"/>
    <s v="Sophia Foster"/>
    <n v="30"/>
    <x v="1"/>
    <n v="25.8"/>
    <x v="0"/>
    <x v="0"/>
    <x v="45"/>
    <x v="44"/>
    <x v="0"/>
    <x v="0"/>
  </r>
  <r>
    <m/>
    <m/>
    <m/>
    <x v="2"/>
    <m/>
    <x v="4"/>
    <x v="2"/>
    <x v="46"/>
    <x v="45"/>
    <x v="3"/>
    <x v="3"/>
  </r>
  <r>
    <m/>
    <m/>
    <m/>
    <x v="2"/>
    <m/>
    <x v="4"/>
    <x v="2"/>
    <x v="46"/>
    <x v="45"/>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n v="1"/>
    <s v="John Smith"/>
    <n v="35"/>
    <s v="Male"/>
    <n v="29.5"/>
    <n v="0"/>
    <s v="Non-Smoker"/>
    <x v="0"/>
    <n v="16450"/>
    <s v="Overweight"/>
    <s v="JR"/>
  </r>
  <r>
    <n v="2"/>
    <s v="Emily Johnson"/>
    <n v="42"/>
    <s v="Female"/>
    <n v="26.8"/>
    <n v="2"/>
    <s v="Non-Smoker"/>
    <x v="1"/>
    <n v="21600"/>
    <s v="Overweight"/>
    <s v="JR"/>
  </r>
  <r>
    <n v="3"/>
    <s v="Michael Williams"/>
    <n v="50"/>
    <s v="Male"/>
    <n v="31.2"/>
    <n v="3"/>
    <s v="Smoker"/>
    <x v="2"/>
    <n v="21080"/>
    <s v="Obese"/>
    <s v="SR"/>
  </r>
  <r>
    <n v="4"/>
    <s v="Sarah Brown"/>
    <n v="28"/>
    <s v="Female"/>
    <n v="22.3"/>
    <n v="1"/>
    <s v="Non-Smoker"/>
    <x v="3"/>
    <n v="10080"/>
    <s v="Normal"/>
    <s v="Adult"/>
  </r>
  <r>
    <n v="5"/>
    <s v="David Jones"/>
    <n v="39"/>
    <s v="Male"/>
    <n v="28.1"/>
    <n v="2"/>
    <s v="Non-Smoker"/>
    <x v="4"/>
    <n v="17640"/>
    <s v="Overweight"/>
    <s v="JR"/>
  </r>
  <r>
    <n v="6"/>
    <s v="Jennifer Martinez"/>
    <n v="45"/>
    <s v="Female"/>
    <n v="29.9"/>
    <n v="0"/>
    <s v="Non-Smoker"/>
    <x v="5"/>
    <n v="18000"/>
    <s v="Overweight"/>
    <s v="JR"/>
  </r>
  <r>
    <n v="7"/>
    <s v="Daniel Anderson"/>
    <n v="33"/>
    <s v="Male"/>
    <n v="25.5"/>
    <n v="1"/>
    <s v="Non-Smoker"/>
    <x v="6"/>
    <n v="11520"/>
    <s v="Overweight"/>
    <s v="JR"/>
  </r>
  <r>
    <n v="8"/>
    <s v="Jessica Wilson"/>
    <n v="37"/>
    <s v="Female"/>
    <n v="27.4"/>
    <n v="2"/>
    <s v="Smoker"/>
    <x v="7"/>
    <n v="16120"/>
    <s v="Overweight"/>
    <s v="JR"/>
  </r>
  <r>
    <n v="9"/>
    <s v="Matthew Taylor"/>
    <n v="47"/>
    <s v="Male"/>
    <n v="33"/>
    <n v="3"/>
    <s v="Non-Smoker"/>
    <x v="8"/>
    <n v="19720"/>
    <s v="Obese"/>
    <s v="JR"/>
  </r>
  <r>
    <n v="10"/>
    <s v="Emma Garcia"/>
    <n v="31"/>
    <s v="Female"/>
    <n v="24.7"/>
    <n v="0"/>
    <s v="Non-Smoker"/>
    <x v="9"/>
    <n v="11100"/>
    <s v="Normal"/>
    <s v="JR"/>
  </r>
  <r>
    <n v="11"/>
    <s v="Christopher Rodriguez"/>
    <n v="40"/>
    <s v="Male"/>
    <n v="30.5"/>
    <n v="2"/>
    <s v="Non-Smoker"/>
    <x v="10"/>
    <n v="18920"/>
    <s v="Obese"/>
    <s v="JR"/>
  </r>
  <r>
    <n v="12"/>
    <s v="Olivia Hernandez"/>
    <n v="29"/>
    <s v="Female"/>
    <n v="23.9"/>
    <n v="1"/>
    <s v="Non-Smoker"/>
    <x v="11"/>
    <n v="11020"/>
    <s v="Normal"/>
    <s v="Adult"/>
  </r>
  <r>
    <n v="13"/>
    <s v="James Martinez"/>
    <n v="48"/>
    <s v="Male"/>
    <n v="32.700000000000003"/>
    <n v="3"/>
    <s v="Smoker"/>
    <x v="12"/>
    <n v="18600"/>
    <s v="Obese"/>
    <s v="JR"/>
  </r>
  <r>
    <n v="14"/>
    <s v="Sophia Thompson"/>
    <n v="36"/>
    <s v="Female"/>
    <n v="28.3"/>
    <n v="0"/>
    <s v="Non-Smoker"/>
    <x v="13"/>
    <n v="15960"/>
    <s v="Overweight"/>
    <s v="JR"/>
  </r>
  <r>
    <n v="15"/>
    <s v="David Lopez"/>
    <n v="43"/>
    <s v="Male"/>
    <n v="29.8"/>
    <n v="2"/>
    <s v="Non-Smoker"/>
    <x v="14"/>
    <n v="17550"/>
    <s v="Overweight"/>
    <s v="JR"/>
  </r>
  <r>
    <n v="16"/>
    <s v="Isabella Perez"/>
    <n v="32"/>
    <s v="Female"/>
    <n v="25.1"/>
    <n v="1"/>
    <s v="Non-Smoker"/>
    <x v="15"/>
    <n v="10540"/>
    <s v="Overweight"/>
    <s v="JR"/>
  </r>
  <r>
    <n v="17"/>
    <s v="Daniel Scott"/>
    <n v="39"/>
    <s v="Male"/>
    <n v="27.9"/>
    <n v="3"/>
    <s v="Smoker"/>
    <x v="16"/>
    <n v="20100"/>
    <s v="Overweight"/>
    <s v="JR"/>
  </r>
  <r>
    <n v="18"/>
    <s v="Amelia Moore"/>
    <n v="41"/>
    <s v="Female"/>
    <n v="31.5"/>
    <n v="0"/>
    <s v="Non-Smoker"/>
    <x v="17"/>
    <n v="19600"/>
    <s v="Obese"/>
    <s v="JR"/>
  </r>
  <r>
    <n v="19"/>
    <s v="Michael Wilson"/>
    <n v="46"/>
    <s v="Male"/>
    <n v="34.200000000000003"/>
    <n v="2"/>
    <s v="Non-Smoker"/>
    <x v="18"/>
    <n v="17280"/>
    <s v="Obese"/>
    <s v="JR"/>
  </r>
  <r>
    <n v="20"/>
    <s v="Mia Taylor"/>
    <n v="30"/>
    <s v="Female"/>
    <n v="26"/>
    <n v="1"/>
    <s v="Non-Smoker"/>
    <x v="19"/>
    <n v="12210"/>
    <s v="Overweight"/>
    <s v="JR"/>
  </r>
  <r>
    <n v="21"/>
    <s v="Ethan Harris"/>
    <n v="44"/>
    <s v="Male"/>
    <n v="29.6"/>
    <n v="3"/>
    <s v="Smoker"/>
    <x v="20"/>
    <n v="28980"/>
    <s v="Overweight"/>
    <s v="JR"/>
  </r>
  <r>
    <n v="22"/>
    <s v="Ava Martin"/>
    <n v="35"/>
    <s v="Female"/>
    <n v="28.8"/>
    <n v="0"/>
    <s v="Non-Smoker"/>
    <x v="21"/>
    <n v="12210"/>
    <s v="Overweight"/>
    <s v="JR"/>
  </r>
  <r>
    <n v="23"/>
    <s v="Alexander King"/>
    <n v="49"/>
    <s v="Male"/>
    <n v="33.799999999999997"/>
    <n v="2"/>
    <s v="Non-Smoker"/>
    <x v="22"/>
    <n v="25760"/>
    <s v="Obese"/>
    <s v="JR"/>
  </r>
  <r>
    <n v="24"/>
    <s v="Chloe Lee"/>
    <n v="34"/>
    <s v="Female"/>
    <n v="25.9"/>
    <n v="1"/>
    <s v="Non-Smoker"/>
    <x v="23"/>
    <n v="9600"/>
    <s v="Overweight"/>
    <s v="JR"/>
  </r>
  <r>
    <n v="25"/>
    <s v="William White"/>
    <n v="38"/>
    <s v="Male"/>
    <n v="26.3"/>
    <n v="2"/>
    <s v="Smoker"/>
    <x v="24"/>
    <n v="30550"/>
    <s v="Overweight"/>
    <s v="JR"/>
  </r>
  <r>
    <n v="26"/>
    <s v="Abigail Allen"/>
    <n v="27"/>
    <s v="Female"/>
    <n v="24.5"/>
    <n v="0"/>
    <s v="Non-Smoker"/>
    <x v="25"/>
    <n v="13050"/>
    <s v="Normal"/>
    <s v="Adult"/>
  </r>
  <r>
    <n v="27"/>
    <s v="Ryan Hall"/>
    <n v="52"/>
    <s v="Male"/>
    <n v="35.1"/>
    <n v="3"/>
    <s v="Smoker"/>
    <x v="26"/>
    <n v="23760"/>
    <s v="Obese"/>
    <s v="SR"/>
  </r>
  <r>
    <n v="28"/>
    <s v="Harper Young"/>
    <n v="33"/>
    <s v="Female"/>
    <n v="27.6"/>
    <n v="1"/>
    <s v="Non-Smoker"/>
    <x v="27"/>
    <n v="13940"/>
    <s v="Overweight"/>
    <s v="JR"/>
  </r>
  <r>
    <n v="29"/>
    <s v="Benjamin Hernandez"/>
    <n v="50"/>
    <s v="Male"/>
    <n v="31.8"/>
    <n v="2"/>
    <s v="Non-Smoker"/>
    <x v="28"/>
    <n v="21830"/>
    <s v="Obese"/>
    <s v="SR"/>
  </r>
  <r>
    <n v="30"/>
    <s v="Evelyn Garcia"/>
    <n v="39"/>
    <s v="Female"/>
    <n v="29.2"/>
    <n v="0"/>
    <s v="Non-Smoker"/>
    <x v="29"/>
    <n v="19270"/>
    <s v="Overweight"/>
    <s v="JR"/>
  </r>
  <r>
    <n v="31"/>
    <s v="Lucas Martinez"/>
    <n v="47"/>
    <s v="Male"/>
    <n v="32.5"/>
    <n v="3"/>
    <s v="Smoker"/>
    <x v="30"/>
    <n v="22400"/>
    <s v="Obese"/>
    <s v="JR"/>
  </r>
  <r>
    <n v="32"/>
    <s v="Zoe Scott"/>
    <n v="31"/>
    <s v="Female"/>
    <n v="26.5"/>
    <n v="1"/>
    <s v="Non-Smoker"/>
    <x v="31"/>
    <n v="16100"/>
    <s v="Overweight"/>
    <s v="JR"/>
  </r>
  <r>
    <n v="33"/>
    <s v="Aiden Adams"/>
    <n v="45"/>
    <s v="Male"/>
    <n v="30.3"/>
    <n v="2"/>
    <s v="Non-Smoker"/>
    <x v="32"/>
    <n v="25080"/>
    <s v="Obese"/>
    <s v="JR"/>
  </r>
  <r>
    <n v="34"/>
    <s v="Nora Wood"/>
    <n v="37"/>
    <s v="Female"/>
    <n v="28"/>
    <n v="0"/>
    <s v="Non-Smoker"/>
    <x v="33"/>
    <n v="14430"/>
    <s v="Overweight"/>
    <s v="JR"/>
  </r>
  <r>
    <n v="35"/>
    <s v="Jackson Mitchell"/>
    <n v="48"/>
    <s v="Male"/>
    <n v="33.5"/>
    <n v="3"/>
    <s v="Smoker"/>
    <x v="34"/>
    <n v="30530"/>
    <s v="Obese"/>
    <s v="JR"/>
  </r>
  <r>
    <n v="36"/>
    <s v="Leah Price"/>
    <n v="29"/>
    <s v="Female"/>
    <n v="25.3"/>
    <n v="1"/>
    <s v="Non-Smoker"/>
    <x v="35"/>
    <n v="9900"/>
    <s v="Overweight"/>
    <s v="Adult"/>
  </r>
  <r>
    <n v="37"/>
    <s v="Logan Carter"/>
    <n v="51"/>
    <s v="Male"/>
    <n v="34.700000000000003"/>
    <n v="2"/>
    <s v="Non-Smoker"/>
    <x v="36"/>
    <n v="22200"/>
    <s v="Obese"/>
    <s v="SR"/>
  </r>
  <r>
    <n v="38"/>
    <s v="Avery Cooper"/>
    <n v="32"/>
    <s v="Female"/>
    <n v="27.2"/>
    <n v="0"/>
    <s v="Non-Smoker"/>
    <x v="37"/>
    <n v="15480"/>
    <s v="Overweight"/>
    <s v="JR"/>
  </r>
  <r>
    <n v="39"/>
    <s v="Henry Rivera"/>
    <n v="46"/>
    <s v="Male"/>
    <n v="31"/>
    <n v="3"/>
    <s v="Smoker"/>
    <x v="38"/>
    <n v="24480"/>
    <s v="Obese"/>
    <s v="JR"/>
  </r>
  <r>
    <n v="40"/>
    <s v="Ella Richardson"/>
    <n v="36"/>
    <s v="Female"/>
    <n v="29.1"/>
    <n v="1"/>
    <s v="Non-Smoker"/>
    <x v="39"/>
    <n v="12000"/>
    <s v="Overweight"/>
    <s v="JR"/>
  </r>
  <r>
    <n v="41"/>
    <s v="David Perez"/>
    <n v="49"/>
    <s v="Male"/>
    <n v="32.799999999999997"/>
    <n v="2"/>
    <s v="Non-Smoker"/>
    <x v="40"/>
    <n v="28060"/>
    <s v="Obese"/>
    <s v="JR"/>
  </r>
  <r>
    <n v="42"/>
    <s v="Scarlett Ross"/>
    <n v="38"/>
    <s v="Female"/>
    <n v="27.8"/>
    <n v="0"/>
    <s v="Non-Smoker"/>
    <x v="41"/>
    <n v="14060"/>
    <s v="Overweight"/>
    <s v="JR"/>
  </r>
  <r>
    <n v="43"/>
    <s v="Jack Ward"/>
    <n v="53"/>
    <s v="Male"/>
    <n v="35.299999999999997"/>
    <n v="3"/>
    <s v="Smoker"/>
    <x v="42"/>
    <n v="32120"/>
    <s v="Obese"/>
    <s v="SR"/>
  </r>
  <r>
    <n v="44"/>
    <s v="Lily Morris"/>
    <n v="34"/>
    <s v="Female"/>
    <n v="26.4"/>
    <n v="1"/>
    <s v="Non-Smoker"/>
    <x v="43"/>
    <n v="15640"/>
    <s v="Overweight"/>
    <s v="JR"/>
  </r>
  <r>
    <n v="45"/>
    <s v="Lucas Baker"/>
    <n v="48"/>
    <s v="Male"/>
    <n v="31.7"/>
    <n v="2"/>
    <s v="Non-Smoker"/>
    <x v="44"/>
    <n v="20880"/>
    <s v="Obese"/>
    <s v="JR"/>
  </r>
  <r>
    <n v="46"/>
    <s v="Sophia Foster"/>
    <n v="30"/>
    <s v="Female"/>
    <n v="25.8"/>
    <n v="0"/>
    <s v="Non-Smoker"/>
    <x v="45"/>
    <n v="11840"/>
    <s v="Overweight"/>
    <s v="J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FDECC3-94C8-471D-800A-2990E8D26FDC}"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9">
  <location ref="A3:B14" firstHeaderRow="1" firstDataRow="1" firstDataCol="1"/>
  <pivotFields count="11">
    <pivotField dataField="1" showAll="0"/>
    <pivotField showAll="0"/>
    <pivotField showAll="0"/>
    <pivotField showAll="0">
      <items count="4">
        <item x="1"/>
        <item x="0"/>
        <item x="2"/>
        <item t="default"/>
      </items>
    </pivotField>
    <pivotField showAll="0"/>
    <pivotField showAll="0"/>
    <pivotField showAll="0">
      <items count="4">
        <item x="0"/>
        <item x="1"/>
        <item x="2"/>
        <item t="default"/>
      </items>
    </pivotField>
    <pivotField axis="axisRow" showAll="0" measureFilter="1">
      <items count="48">
        <item x="30"/>
        <item x="43"/>
        <item x="35"/>
        <item x="10"/>
        <item x="28"/>
        <item x="21"/>
        <item x="16"/>
        <item x="2"/>
        <item x="14"/>
        <item x="8"/>
        <item x="18"/>
        <item x="19"/>
        <item x="15"/>
        <item x="32"/>
        <item x="3"/>
        <item x="13"/>
        <item x="11"/>
        <item x="36"/>
        <item x="26"/>
        <item x="38"/>
        <item x="1"/>
        <item x="27"/>
        <item x="23"/>
        <item x="34"/>
        <item x="37"/>
        <item x="29"/>
        <item x="22"/>
        <item x="45"/>
        <item x="0"/>
        <item x="40"/>
        <item x="25"/>
        <item x="5"/>
        <item x="4"/>
        <item x="24"/>
        <item x="33"/>
        <item x="6"/>
        <item x="7"/>
        <item x="12"/>
        <item x="9"/>
        <item x="17"/>
        <item x="42"/>
        <item x="31"/>
        <item x="41"/>
        <item x="39"/>
        <item x="20"/>
        <item x="44"/>
        <item x="46"/>
        <item t="default"/>
      </items>
    </pivotField>
    <pivotField showAll="0">
      <items count="47">
        <item x="22"/>
        <item x="34"/>
        <item x="3"/>
        <item x="15"/>
        <item x="11"/>
        <item x="9"/>
        <item x="6"/>
        <item x="44"/>
        <item x="38"/>
        <item x="19"/>
        <item x="24"/>
        <item x="26"/>
        <item x="40"/>
        <item x="32"/>
        <item x="36"/>
        <item x="42"/>
        <item x="13"/>
        <item x="30"/>
        <item x="7"/>
        <item x="0"/>
        <item x="18"/>
        <item x="14"/>
        <item x="4"/>
        <item x="5"/>
        <item x="12"/>
        <item x="10"/>
        <item x="28"/>
        <item x="17"/>
        <item x="8"/>
        <item x="16"/>
        <item x="43"/>
        <item x="2"/>
        <item x="1"/>
        <item x="27"/>
        <item x="35"/>
        <item x="29"/>
        <item x="25"/>
        <item x="37"/>
        <item x="31"/>
        <item x="21"/>
        <item x="39"/>
        <item x="20"/>
        <item x="33"/>
        <item x="23"/>
        <item x="41"/>
        <item x="45"/>
        <item t="default"/>
      </items>
    </pivotField>
    <pivotField showAll="0">
      <items count="5">
        <item x="2"/>
        <item x="1"/>
        <item x="0"/>
        <item x="3"/>
        <item t="default"/>
      </items>
    </pivotField>
    <pivotField showAll="0">
      <items count="5">
        <item x="2"/>
        <item x="0"/>
        <item x="1"/>
        <item x="3"/>
        <item t="default"/>
      </items>
    </pivotField>
  </pivotFields>
  <rowFields count="1">
    <field x="7"/>
  </rowFields>
  <rowItems count="11">
    <i>
      <x v="1"/>
    </i>
    <i>
      <x v="17"/>
    </i>
    <i>
      <x v="19"/>
    </i>
    <i>
      <x v="24"/>
    </i>
    <i>
      <x v="27"/>
    </i>
    <i>
      <x v="29"/>
    </i>
    <i>
      <x v="40"/>
    </i>
    <i>
      <x v="42"/>
    </i>
    <i>
      <x v="43"/>
    </i>
    <i>
      <x v="45"/>
    </i>
    <i t="grand">
      <x/>
    </i>
  </rowItems>
  <colItems count="1">
    <i/>
  </colItems>
  <dataFields count="1">
    <dataField name="Sum of Patient ID" fld="0" baseField="0" baseItem="0"/>
  </dataFields>
  <chartFormats count="2">
    <chartFormat chart="0"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7463F0-5D9D-4DF2-BA93-D1FAADEAF555}"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8">
  <location ref="A3:E7" firstHeaderRow="1" firstDataRow="2" firstDataCol="1"/>
  <pivotFields count="11">
    <pivotField dataField="1" showAll="0"/>
    <pivotField showAll="0"/>
    <pivotField showAll="0"/>
    <pivotField axis="axisRow" showAll="0">
      <items count="4">
        <item x="1"/>
        <item x="0"/>
        <item h="1" x="2"/>
        <item t="default"/>
      </items>
    </pivotField>
    <pivotField showAll="0"/>
    <pivotField showAll="0"/>
    <pivotField showAll="0"/>
    <pivotField showAll="0"/>
    <pivotField showAll="0"/>
    <pivotField axis="axisCol" showAll="0">
      <items count="5">
        <item x="2"/>
        <item x="1"/>
        <item x="0"/>
        <item h="1" x="3"/>
        <item t="default"/>
      </items>
    </pivotField>
    <pivotField showAll="0"/>
  </pivotFields>
  <rowFields count="1">
    <field x="3"/>
  </rowFields>
  <rowItems count="3">
    <i>
      <x/>
    </i>
    <i>
      <x v="1"/>
    </i>
    <i t="grand">
      <x/>
    </i>
  </rowItems>
  <colFields count="1">
    <field x="9"/>
  </colFields>
  <colItems count="4">
    <i>
      <x/>
    </i>
    <i>
      <x v="1"/>
    </i>
    <i>
      <x v="2"/>
    </i>
    <i t="grand">
      <x/>
    </i>
  </colItems>
  <dataFields count="1">
    <dataField name="Count of Patient ID" fld="0" subtotal="count" baseField="3"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17" format="6" series="1">
      <pivotArea type="data" outline="0" fieldPosition="0">
        <references count="2">
          <reference field="4294967294" count="1" selected="0">
            <x v="0"/>
          </reference>
          <reference field="9" count="1" selected="0">
            <x v="0"/>
          </reference>
        </references>
      </pivotArea>
    </chartFormat>
    <chartFormat chart="17" format="7" series="1">
      <pivotArea type="data" outline="0" fieldPosition="0">
        <references count="2">
          <reference field="4294967294" count="1" selected="0">
            <x v="0"/>
          </reference>
          <reference field="9" count="1" selected="0">
            <x v="1"/>
          </reference>
        </references>
      </pivotArea>
    </chartFormat>
    <chartFormat chart="17"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6D837A-996F-4BA4-ABA2-BCA8E51D4813}"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3">
  <location ref="A3:D7" firstHeaderRow="1" firstDataRow="2" firstDataCol="1"/>
  <pivotFields count="11">
    <pivotField showAll="0"/>
    <pivotField showAll="0"/>
    <pivotField showAll="0"/>
    <pivotField axis="axisRow" showAll="0">
      <items count="4">
        <item x="1"/>
        <item x="0"/>
        <item h="1" x="2"/>
        <item t="default"/>
      </items>
    </pivotField>
    <pivotField showAll="0"/>
    <pivotField showAll="0"/>
    <pivotField axis="axisCol" showAll="0">
      <items count="4">
        <item x="0"/>
        <item x="1"/>
        <item h="1" x="2"/>
        <item t="default"/>
      </items>
    </pivotField>
    <pivotField showAll="0"/>
    <pivotField showAll="0"/>
    <pivotField showAll="0"/>
    <pivotField dataField="1" showAll="0"/>
  </pivotFields>
  <rowFields count="1">
    <field x="3"/>
  </rowFields>
  <rowItems count="3">
    <i>
      <x/>
    </i>
    <i>
      <x v="1"/>
    </i>
    <i t="grand">
      <x/>
    </i>
  </rowItems>
  <colFields count="1">
    <field x="6"/>
  </colFields>
  <colItems count="3">
    <i>
      <x/>
    </i>
    <i>
      <x v="1"/>
    </i>
    <i t="grand">
      <x/>
    </i>
  </colItems>
  <dataFields count="1">
    <dataField name="Count of Age Group" fld="10" subtotal="count" baseField="0"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3" count="1" selected="0">
            <x v="0"/>
          </reference>
          <reference field="6" count="1" selected="0">
            <x v="1"/>
          </reference>
        </references>
      </pivotArea>
    </chartFormat>
    <chartFormat chart="0" format="3">
      <pivotArea type="data" outline="0" fieldPosition="0">
        <references count="3">
          <reference field="4294967294" count="1" selected="0">
            <x v="0"/>
          </reference>
          <reference field="3" count="1" selected="0">
            <x v="1"/>
          </reference>
          <reference field="6" count="1" selected="0">
            <x v="1"/>
          </reference>
        </references>
      </pivotArea>
    </chartFormat>
    <chartFormat chart="0" format="4">
      <pivotArea type="data" outline="0" fieldPosition="0">
        <references count="3">
          <reference field="4294967294" count="1" selected="0">
            <x v="0"/>
          </reference>
          <reference field="3" count="1" selected="0">
            <x v="0"/>
          </reference>
          <reference field="6" count="1" selected="0">
            <x v="0"/>
          </reference>
        </references>
      </pivotArea>
    </chartFormat>
    <chartFormat chart="0" format="5">
      <pivotArea type="data" outline="0" fieldPosition="0">
        <references count="3">
          <reference field="4294967294" count="1" selected="0">
            <x v="0"/>
          </reference>
          <reference field="3" count="1" selected="0">
            <x v="1"/>
          </reference>
          <reference field="6" count="1" selected="0">
            <x v="0"/>
          </reference>
        </references>
      </pivotArea>
    </chartFormat>
    <chartFormat chart="22" format="12" series="1">
      <pivotArea type="data" outline="0" fieldPosition="0">
        <references count="2">
          <reference field="4294967294" count="1" selected="0">
            <x v="0"/>
          </reference>
          <reference field="6" count="1" selected="0">
            <x v="0"/>
          </reference>
        </references>
      </pivotArea>
    </chartFormat>
    <chartFormat chart="22" format="13">
      <pivotArea type="data" outline="0" fieldPosition="0">
        <references count="3">
          <reference field="4294967294" count="1" selected="0">
            <x v="0"/>
          </reference>
          <reference field="3" count="1" selected="0">
            <x v="0"/>
          </reference>
          <reference field="6" count="1" selected="0">
            <x v="0"/>
          </reference>
        </references>
      </pivotArea>
    </chartFormat>
    <chartFormat chart="22" format="14">
      <pivotArea type="data" outline="0" fieldPosition="0">
        <references count="3">
          <reference field="4294967294" count="1" selected="0">
            <x v="0"/>
          </reference>
          <reference field="3" count="1" selected="0">
            <x v="1"/>
          </reference>
          <reference field="6" count="1" selected="0">
            <x v="0"/>
          </reference>
        </references>
      </pivotArea>
    </chartFormat>
    <chartFormat chart="22" format="15" series="1">
      <pivotArea type="data" outline="0" fieldPosition="0">
        <references count="2">
          <reference field="4294967294" count="1" selected="0">
            <x v="0"/>
          </reference>
          <reference field="6" count="1" selected="0">
            <x v="1"/>
          </reference>
        </references>
      </pivotArea>
    </chartFormat>
    <chartFormat chart="22" format="16">
      <pivotArea type="data" outline="0" fieldPosition="0">
        <references count="3">
          <reference field="4294967294" count="1" selected="0">
            <x v="0"/>
          </reference>
          <reference field="3" count="1" selected="0">
            <x v="0"/>
          </reference>
          <reference field="6" count="1" selected="0">
            <x v="1"/>
          </reference>
        </references>
      </pivotArea>
    </chartFormat>
    <chartFormat chart="22" format="17">
      <pivotArea type="data" outline="0" fieldPosition="0">
        <references count="3">
          <reference field="4294967294" count="1" selected="0">
            <x v="0"/>
          </reference>
          <reference field="3"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EA7A65-D91E-4A8A-9FE3-50E5A5C46D5B}"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3:B8" firstHeaderRow="1" firstDataRow="1" firstDataCol="1"/>
  <pivotFields count="11">
    <pivotField showAll="0"/>
    <pivotField showAll="0"/>
    <pivotField showAll="0"/>
    <pivotField showAll="0"/>
    <pivotField showAll="0"/>
    <pivotField axis="axisRow" showAll="0">
      <items count="6">
        <item x="0"/>
        <item x="3"/>
        <item x="1"/>
        <item x="2"/>
        <item h="1" x="4"/>
        <item t="default"/>
      </items>
    </pivotField>
    <pivotField showAll="0"/>
    <pivotField showAll="0"/>
    <pivotField dataField="1" showAll="0"/>
    <pivotField showAll="0"/>
    <pivotField showAll="0"/>
  </pivotFields>
  <rowFields count="1">
    <field x="5"/>
  </rowFields>
  <rowItems count="5">
    <i>
      <x/>
    </i>
    <i>
      <x v="1"/>
    </i>
    <i>
      <x v="2"/>
    </i>
    <i>
      <x v="3"/>
    </i>
    <i t="grand">
      <x/>
    </i>
  </rowItems>
  <colItems count="1">
    <i/>
  </colItems>
  <dataFields count="1">
    <dataField name="Average of Charges" fld="8" subtotal="average" baseField="5"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5" count="1" selected="0">
            <x v="0"/>
          </reference>
        </references>
      </pivotArea>
    </chartFormat>
    <chartFormat chart="11" format="12">
      <pivotArea type="data" outline="0" fieldPosition="0">
        <references count="2">
          <reference field="4294967294" count="1" selected="0">
            <x v="0"/>
          </reference>
          <reference field="5" count="1" selected="0">
            <x v="1"/>
          </reference>
        </references>
      </pivotArea>
    </chartFormat>
    <chartFormat chart="11" format="13">
      <pivotArea type="data" outline="0" fieldPosition="0">
        <references count="2">
          <reference field="4294967294" count="1" selected="0">
            <x v="0"/>
          </reference>
          <reference field="5" count="1" selected="0">
            <x v="2"/>
          </reference>
        </references>
      </pivotArea>
    </chartFormat>
    <chartFormat chart="11"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77BCA9-7B6B-46DB-84D9-F68142E086C1}"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3:C24" firstHeaderRow="0" firstDataRow="1" firstDataCol="1"/>
  <pivotFields count="11">
    <pivotField showAll="0"/>
    <pivotField showAll="0"/>
    <pivotField dataField="1" showAll="0" measureFilter="1"/>
    <pivotField showAll="0"/>
    <pivotField dataField="1" showAll="0"/>
    <pivotField showAll="0"/>
    <pivotField showAll="0"/>
    <pivotField axis="axisRow" showAll="0" measureFilter="1">
      <items count="47">
        <item x="30"/>
        <item x="43"/>
        <item x="35"/>
        <item x="10"/>
        <item x="28"/>
        <item x="21"/>
        <item x="16"/>
        <item x="2"/>
        <item x="14"/>
        <item x="8"/>
        <item x="18"/>
        <item x="19"/>
        <item x="15"/>
        <item x="32"/>
        <item x="3"/>
        <item x="13"/>
        <item x="11"/>
        <item x="36"/>
        <item x="26"/>
        <item x="38"/>
        <item x="1"/>
        <item x="27"/>
        <item x="23"/>
        <item x="34"/>
        <item x="37"/>
        <item x="29"/>
        <item x="22"/>
        <item x="45"/>
        <item x="0"/>
        <item x="40"/>
        <item x="25"/>
        <item x="5"/>
        <item x="4"/>
        <item x="24"/>
        <item x="33"/>
        <item x="6"/>
        <item x="7"/>
        <item x="12"/>
        <item x="9"/>
        <item x="17"/>
        <item x="42"/>
        <item x="31"/>
        <item x="41"/>
        <item x="39"/>
        <item x="20"/>
        <item x="44"/>
        <item t="default"/>
      </items>
    </pivotField>
    <pivotField showAll="0"/>
    <pivotField showAll="0"/>
    <pivotField showAll="0"/>
  </pivotFields>
  <rowFields count="1">
    <field x="7"/>
  </rowFields>
  <rowItems count="21">
    <i>
      <x/>
    </i>
    <i>
      <x v="3"/>
    </i>
    <i>
      <x v="4"/>
    </i>
    <i>
      <x v="7"/>
    </i>
    <i>
      <x v="8"/>
    </i>
    <i>
      <x v="9"/>
    </i>
    <i>
      <x v="10"/>
    </i>
    <i>
      <x v="13"/>
    </i>
    <i>
      <x v="17"/>
    </i>
    <i>
      <x v="18"/>
    </i>
    <i>
      <x v="19"/>
    </i>
    <i>
      <x v="23"/>
    </i>
    <i>
      <x v="26"/>
    </i>
    <i>
      <x v="29"/>
    </i>
    <i>
      <x v="31"/>
    </i>
    <i>
      <x v="37"/>
    </i>
    <i>
      <x v="39"/>
    </i>
    <i>
      <x v="40"/>
    </i>
    <i>
      <x v="44"/>
    </i>
    <i>
      <x v="45"/>
    </i>
    <i t="grand">
      <x/>
    </i>
  </rowItems>
  <colFields count="1">
    <field x="-2"/>
  </colFields>
  <colItems count="2">
    <i>
      <x/>
    </i>
    <i i="1">
      <x v="1"/>
    </i>
  </colItems>
  <dataFields count="2">
    <dataField name="Average of BMI" fld="4" subtotal="average" baseField="7" baseItem="0"/>
    <dataField name="Average of Age" fld="2" subtotal="average" baseField="7" baseItem="0"/>
  </dataFields>
  <chartFormats count="4">
    <chartFormat chart="0" format="92" series="1">
      <pivotArea type="data" outline="0" fieldPosition="0">
        <references count="1">
          <reference field="4294967294" count="1" selected="0">
            <x v="0"/>
          </reference>
        </references>
      </pivotArea>
    </chartFormat>
    <chartFormat chart="0" format="96" series="1">
      <pivotArea type="data" outline="0" fieldPosition="0">
        <references count="1">
          <reference field="4294967294" count="1" selected="0">
            <x v="1"/>
          </reference>
        </references>
      </pivotArea>
    </chartFormat>
    <chartFormat chart="11" format="99" series="1">
      <pivotArea type="data" outline="0" fieldPosition="0">
        <references count="1">
          <reference field="4294967294" count="1" selected="0">
            <x v="0"/>
          </reference>
        </references>
      </pivotArea>
    </chartFormat>
    <chartFormat chart="11" format="10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7" type="count" evalOrder="-1" id="3" iMeasureFld="0">
      <autoFilter ref="A1">
        <filterColumn colId="0">
          <top10 val="20" filterVal="20"/>
        </filterColumn>
      </autoFilter>
    </filter>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CAE6D19-C7D3-4ADF-83D4-D6379BECCA9F}" sourceName="Gender">
  <pivotTables>
    <pivotTable tabId="8" name="PivotTable2"/>
  </pivotTables>
  <data>
    <tabular pivotCacheId="369867588">
      <items count="3">
        <i x="1" s="1"/>
        <i x="0"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3CD3A077-3AE4-4AAB-BEE6-B6102C0BE99E}" sourceName="Smoking Status">
  <pivotTables>
    <pivotTable tabId="8" name="PivotTable2"/>
  </pivotTables>
  <data>
    <tabular pivotCacheId="369867588">
      <items count="3">
        <i x="0" s="1"/>
        <i x="1"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BFF919-EF77-436F-895B-FA36CBBED9DD}" sourceName="Region">
  <pivotTables>
    <pivotTable tabId="8" name="PivotTable2"/>
  </pivotTables>
  <data>
    <tabular pivotCacheId="369867588">
      <items count="47">
        <i x="30" s="1"/>
        <i x="43" s="1"/>
        <i x="35" s="1"/>
        <i x="10" s="1"/>
        <i x="28" s="1"/>
        <i x="21" s="1"/>
        <i x="16" s="1"/>
        <i x="2" s="1"/>
        <i x="14" s="1"/>
        <i x="8" s="1"/>
        <i x="18" s="1"/>
        <i x="19" s="1"/>
        <i x="15" s="1"/>
        <i x="32" s="1"/>
        <i x="3" s="1"/>
        <i x="13" s="1"/>
        <i x="11" s="1"/>
        <i x="36" s="1"/>
        <i x="26" s="1"/>
        <i x="38" s="1"/>
        <i x="1" s="1"/>
        <i x="27" s="1"/>
        <i x="23" s="1"/>
        <i x="34" s="1"/>
        <i x="37" s="1"/>
        <i x="29" s="1"/>
        <i x="22" s="1"/>
        <i x="45" s="1"/>
        <i x="0" s="1"/>
        <i x="40" s="1"/>
        <i x="25" s="1"/>
        <i x="5" s="1"/>
        <i x="4" s="1"/>
        <i x="24" s="1"/>
        <i x="33" s="1"/>
        <i x="6" s="1"/>
        <i x="7" s="1"/>
        <i x="12" s="1"/>
        <i x="9" s="1"/>
        <i x="17" s="1"/>
        <i x="42" s="1"/>
        <i x="31" s="1"/>
        <i x="41" s="1"/>
        <i x="39" s="1"/>
        <i x="20" s="1"/>
        <i x="44" s="1"/>
        <i x="4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763BA074-01B9-47DB-A70A-B9B7D446D7E0}" sourceName="BMI CATEGORY">
  <pivotTables>
    <pivotTable tabId="8" name="PivotTable2"/>
  </pivotTables>
  <data>
    <tabular pivotCacheId="369867588">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5E13A52-FD1C-4F7F-9393-5BF5A02F63DF}" sourceName="Age Group">
  <pivotTables>
    <pivotTable tabId="8" name="PivotTable2"/>
  </pivotTables>
  <data>
    <tabular pivotCacheId="369867588">
      <items count="4">
        <i x="2" s="1"/>
        <i x="0"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DCECE7B-392B-4F65-A0FE-B386F22ED8E1}" cache="Slicer_Gender" caption="Gender" style="SlicerStyleDark3" rowHeight="247650"/>
  <slicer name="Smoking Status" xr10:uid="{18D9ACF7-BF16-4AAE-A3A8-F772DDE45480}" cache="Slicer_Smoking_Status" caption="Smoking Status" style="SlicerStyleDark3" rowHeight="247650"/>
  <slicer name="Region" xr10:uid="{78D62C77-1B65-4A44-AB06-76EC2F7A5CF2}" cache="Slicer_Region" caption="Region" style="SlicerStyleDark3" rowHeight="247650"/>
  <slicer name="BMI CATEGORY" xr10:uid="{36024ABC-A593-47A4-9431-7DFEB4C82385}" cache="Slicer_BMI_CATEGORY" caption="BMI CATEGORY" style="SlicerStyleDark3" rowHeight="247650"/>
  <slicer name="Age Group" xr10:uid="{01D2AEB6-35A5-4223-9791-DC3896CA7ABC}" cache="Slicer_Age_Group" caption="Age Group" style="SlicerStyleDark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EA0CF-099A-449E-AE0E-FD15BF560A4D}">
  <sheetPr>
    <tabColor theme="1" tint="4.9989318521683403E-2"/>
  </sheetPr>
  <dimension ref="A2:I52"/>
  <sheetViews>
    <sheetView showGridLines="0" topLeftCell="B1" workbookViewId="0">
      <selection activeCell="L18" sqref="L18"/>
    </sheetView>
  </sheetViews>
  <sheetFormatPr defaultRowHeight="14.4" x14ac:dyDescent="0.3"/>
  <cols>
    <col min="1" max="1" width="13.109375" style="2" hidden="1" customWidth="1"/>
    <col min="2" max="2" width="21" style="2" bestFit="1" customWidth="1"/>
    <col min="3" max="3" width="9.33203125" style="2" customWidth="1"/>
    <col min="4" max="4" width="9.5546875" style="2" customWidth="1"/>
    <col min="5" max="5" width="8.109375" style="2" customWidth="1"/>
    <col min="6" max="6" width="14.6640625" style="2" customWidth="1"/>
    <col min="7" max="7" width="19.33203125" style="2" customWidth="1"/>
    <col min="8" max="8" width="14" style="2" bestFit="1" customWidth="1"/>
    <col min="9" max="9" width="23.44140625" style="2" customWidth="1"/>
    <col min="10" max="16384" width="8.88671875" style="2"/>
  </cols>
  <sheetData>
    <row r="2" spans="2:9" ht="18.600000000000001" thickBot="1" x14ac:dyDescent="0.35">
      <c r="B2" s="1" t="s">
        <v>103</v>
      </c>
      <c r="C2" s="1"/>
      <c r="D2" s="1"/>
      <c r="E2" s="1"/>
      <c r="F2" s="1"/>
      <c r="G2" s="1"/>
      <c r="H2" s="1"/>
      <c r="I2" s="1"/>
    </row>
    <row r="4" spans="2:9" ht="18.600000000000001" thickBot="1" x14ac:dyDescent="0.35">
      <c r="B4" s="3" t="s">
        <v>0</v>
      </c>
      <c r="C4" s="1"/>
      <c r="D4" s="1"/>
      <c r="E4" s="1"/>
      <c r="F4" s="1"/>
      <c r="G4" s="1"/>
      <c r="H4" s="1"/>
      <c r="I4" s="1"/>
    </row>
    <row r="6" spans="2:9" ht="15.6" x14ac:dyDescent="0.3">
      <c r="B6" s="4" t="s">
        <v>1</v>
      </c>
      <c r="C6" s="4" t="s">
        <v>2</v>
      </c>
      <c r="D6" s="4" t="s">
        <v>3</v>
      </c>
      <c r="E6" s="4" t="s">
        <v>4</v>
      </c>
      <c r="F6" s="4" t="s">
        <v>5</v>
      </c>
      <c r="G6" s="4" t="s">
        <v>6</v>
      </c>
      <c r="H6" s="4" t="s">
        <v>104</v>
      </c>
      <c r="I6" s="4" t="s">
        <v>105</v>
      </c>
    </row>
    <row r="7" spans="2:9" x14ac:dyDescent="0.3">
      <c r="B7" s="5" t="s">
        <v>7</v>
      </c>
      <c r="C7" s="5">
        <v>35</v>
      </c>
      <c r="D7" s="5" t="s">
        <v>8</v>
      </c>
      <c r="E7" s="5">
        <v>29.5</v>
      </c>
      <c r="F7" s="5">
        <v>0</v>
      </c>
      <c r="G7" s="5" t="s">
        <v>9</v>
      </c>
      <c r="H7" s="5" t="s">
        <v>10</v>
      </c>
      <c r="I7" s="5">
        <v>16450</v>
      </c>
    </row>
    <row r="8" spans="2:9" x14ac:dyDescent="0.3">
      <c r="B8" s="5" t="s">
        <v>11</v>
      </c>
      <c r="C8" s="5">
        <v>42</v>
      </c>
      <c r="D8" s="5" t="s">
        <v>12</v>
      </c>
      <c r="E8" s="5">
        <v>26.8</v>
      </c>
      <c r="F8" s="5">
        <v>2</v>
      </c>
      <c r="G8" s="5" t="s">
        <v>9</v>
      </c>
      <c r="H8" s="5" t="s">
        <v>13</v>
      </c>
      <c r="I8" s="5">
        <v>21600</v>
      </c>
    </row>
    <row r="9" spans="2:9" x14ac:dyDescent="0.3">
      <c r="B9" s="5" t="s">
        <v>14</v>
      </c>
      <c r="C9" s="5">
        <v>50</v>
      </c>
      <c r="D9" s="5" t="s">
        <v>8</v>
      </c>
      <c r="E9" s="5">
        <v>31.2</v>
      </c>
      <c r="F9" s="5">
        <v>3</v>
      </c>
      <c r="G9" s="5" t="s">
        <v>15</v>
      </c>
      <c r="H9" s="5" t="s">
        <v>16</v>
      </c>
      <c r="I9" s="5">
        <v>21080</v>
      </c>
    </row>
    <row r="10" spans="2:9" x14ac:dyDescent="0.3">
      <c r="B10" s="5" t="s">
        <v>17</v>
      </c>
      <c r="C10" s="5">
        <v>28</v>
      </c>
      <c r="D10" s="5" t="s">
        <v>12</v>
      </c>
      <c r="E10" s="5">
        <v>22.3</v>
      </c>
      <c r="F10" s="5">
        <v>1</v>
      </c>
      <c r="G10" s="5" t="s">
        <v>9</v>
      </c>
      <c r="H10" s="5" t="s">
        <v>18</v>
      </c>
      <c r="I10" s="5">
        <v>10080</v>
      </c>
    </row>
    <row r="11" spans="2:9" x14ac:dyDescent="0.3">
      <c r="B11" s="5" t="s">
        <v>19</v>
      </c>
      <c r="C11" s="5">
        <v>39</v>
      </c>
      <c r="D11" s="5" t="s">
        <v>8</v>
      </c>
      <c r="E11" s="5">
        <v>28.1</v>
      </c>
      <c r="F11" s="5">
        <v>2</v>
      </c>
      <c r="G11" s="5" t="s">
        <v>9</v>
      </c>
      <c r="H11" s="5" t="s">
        <v>20</v>
      </c>
      <c r="I11" s="5">
        <v>17640</v>
      </c>
    </row>
    <row r="12" spans="2:9" x14ac:dyDescent="0.3">
      <c r="B12" s="5" t="s">
        <v>21</v>
      </c>
      <c r="C12" s="5">
        <v>45</v>
      </c>
      <c r="D12" s="5" t="s">
        <v>12</v>
      </c>
      <c r="E12" s="5">
        <v>29.9</v>
      </c>
      <c r="F12" s="5">
        <v>0</v>
      </c>
      <c r="G12" s="5" t="s">
        <v>9</v>
      </c>
      <c r="H12" s="5" t="s">
        <v>22</v>
      </c>
      <c r="I12" s="5">
        <v>18000</v>
      </c>
    </row>
    <row r="13" spans="2:9" x14ac:dyDescent="0.3">
      <c r="B13" s="5" t="s">
        <v>23</v>
      </c>
      <c r="C13" s="5">
        <v>33</v>
      </c>
      <c r="D13" s="5" t="s">
        <v>8</v>
      </c>
      <c r="E13" s="5">
        <v>25.5</v>
      </c>
      <c r="F13" s="5">
        <v>1</v>
      </c>
      <c r="G13" s="5" t="s">
        <v>9</v>
      </c>
      <c r="H13" s="5" t="s">
        <v>24</v>
      </c>
      <c r="I13" s="5">
        <v>11520</v>
      </c>
    </row>
    <row r="14" spans="2:9" x14ac:dyDescent="0.3">
      <c r="B14" s="5" t="s">
        <v>25</v>
      </c>
      <c r="C14" s="5">
        <v>37</v>
      </c>
      <c r="D14" s="5" t="s">
        <v>12</v>
      </c>
      <c r="E14" s="5">
        <v>27.4</v>
      </c>
      <c r="F14" s="5">
        <v>2</v>
      </c>
      <c r="G14" s="5" t="s">
        <v>15</v>
      </c>
      <c r="H14" s="5" t="s">
        <v>26</v>
      </c>
      <c r="I14" s="5">
        <v>16120</v>
      </c>
    </row>
    <row r="15" spans="2:9" x14ac:dyDescent="0.3">
      <c r="B15" s="5" t="s">
        <v>27</v>
      </c>
      <c r="C15" s="5">
        <v>47</v>
      </c>
      <c r="D15" s="5" t="s">
        <v>8</v>
      </c>
      <c r="E15" s="5">
        <v>33</v>
      </c>
      <c r="F15" s="5">
        <v>3</v>
      </c>
      <c r="G15" s="5" t="s">
        <v>9</v>
      </c>
      <c r="H15" s="5" t="s">
        <v>28</v>
      </c>
      <c r="I15" s="5">
        <v>19720</v>
      </c>
    </row>
    <row r="16" spans="2:9" x14ac:dyDescent="0.3">
      <c r="B16" s="5" t="s">
        <v>29</v>
      </c>
      <c r="C16" s="5">
        <v>31</v>
      </c>
      <c r="D16" s="5" t="s">
        <v>12</v>
      </c>
      <c r="E16" s="5">
        <v>24.7</v>
      </c>
      <c r="F16" s="5">
        <v>0</v>
      </c>
      <c r="G16" s="5" t="s">
        <v>9</v>
      </c>
      <c r="H16" s="5" t="s">
        <v>30</v>
      </c>
      <c r="I16" s="5">
        <v>11100</v>
      </c>
    </row>
    <row r="17" spans="2:9" x14ac:dyDescent="0.3">
      <c r="B17" s="5" t="s">
        <v>31</v>
      </c>
      <c r="C17" s="5">
        <v>40</v>
      </c>
      <c r="D17" s="5" t="s">
        <v>8</v>
      </c>
      <c r="E17" s="5">
        <v>30.5</v>
      </c>
      <c r="F17" s="5">
        <v>2</v>
      </c>
      <c r="G17" s="5" t="s">
        <v>9</v>
      </c>
      <c r="H17" s="5" t="s">
        <v>32</v>
      </c>
      <c r="I17" s="5">
        <v>18920</v>
      </c>
    </row>
    <row r="18" spans="2:9" x14ac:dyDescent="0.3">
      <c r="B18" s="5" t="s">
        <v>33</v>
      </c>
      <c r="C18" s="5">
        <v>29</v>
      </c>
      <c r="D18" s="5" t="s">
        <v>12</v>
      </c>
      <c r="E18" s="5">
        <v>23.9</v>
      </c>
      <c r="F18" s="5">
        <v>1</v>
      </c>
      <c r="G18" s="5" t="s">
        <v>9</v>
      </c>
      <c r="H18" s="5" t="s">
        <v>34</v>
      </c>
      <c r="I18" s="5">
        <v>11020</v>
      </c>
    </row>
    <row r="19" spans="2:9" x14ac:dyDescent="0.3">
      <c r="B19" s="5" t="s">
        <v>35</v>
      </c>
      <c r="C19" s="5">
        <v>48</v>
      </c>
      <c r="D19" s="5" t="s">
        <v>8</v>
      </c>
      <c r="E19" s="5">
        <v>32.700000000000003</v>
      </c>
      <c r="F19" s="5">
        <v>3</v>
      </c>
      <c r="G19" s="5" t="s">
        <v>15</v>
      </c>
      <c r="H19" s="5" t="s">
        <v>36</v>
      </c>
      <c r="I19" s="5">
        <v>18600</v>
      </c>
    </row>
    <row r="20" spans="2:9" x14ac:dyDescent="0.3">
      <c r="B20" s="5" t="s">
        <v>37</v>
      </c>
      <c r="C20" s="5">
        <v>36</v>
      </c>
      <c r="D20" s="5" t="s">
        <v>12</v>
      </c>
      <c r="E20" s="5">
        <v>28.3</v>
      </c>
      <c r="F20" s="5">
        <v>0</v>
      </c>
      <c r="G20" s="5" t="s">
        <v>9</v>
      </c>
      <c r="H20" s="5" t="s">
        <v>38</v>
      </c>
      <c r="I20" s="5">
        <v>15960</v>
      </c>
    </row>
    <row r="21" spans="2:9" x14ac:dyDescent="0.3">
      <c r="B21" s="5" t="s">
        <v>39</v>
      </c>
      <c r="C21" s="5">
        <v>43</v>
      </c>
      <c r="D21" s="5" t="s">
        <v>8</v>
      </c>
      <c r="E21" s="5">
        <v>29.8</v>
      </c>
      <c r="F21" s="5">
        <v>2</v>
      </c>
      <c r="G21" s="5" t="s">
        <v>9</v>
      </c>
      <c r="H21" s="5" t="s">
        <v>40</v>
      </c>
      <c r="I21" s="5">
        <v>17550</v>
      </c>
    </row>
    <row r="22" spans="2:9" x14ac:dyDescent="0.3">
      <c r="B22" s="5" t="s">
        <v>41</v>
      </c>
      <c r="C22" s="5">
        <v>32</v>
      </c>
      <c r="D22" s="5" t="s">
        <v>12</v>
      </c>
      <c r="E22" s="5">
        <v>25.1</v>
      </c>
      <c r="F22" s="5">
        <v>1</v>
      </c>
      <c r="G22" s="5" t="s">
        <v>9</v>
      </c>
      <c r="H22" s="5" t="s">
        <v>42</v>
      </c>
      <c r="I22" s="5">
        <v>10540</v>
      </c>
    </row>
    <row r="23" spans="2:9" x14ac:dyDescent="0.3">
      <c r="B23" s="5" t="s">
        <v>43</v>
      </c>
      <c r="C23" s="5">
        <v>39</v>
      </c>
      <c r="D23" s="5" t="s">
        <v>8</v>
      </c>
      <c r="E23" s="5">
        <v>27.9</v>
      </c>
      <c r="F23" s="5">
        <v>3</v>
      </c>
      <c r="G23" s="5" t="s">
        <v>15</v>
      </c>
      <c r="H23" s="5" t="s">
        <v>44</v>
      </c>
      <c r="I23" s="5">
        <v>20100</v>
      </c>
    </row>
    <row r="24" spans="2:9" x14ac:dyDescent="0.3">
      <c r="B24" s="5" t="s">
        <v>45</v>
      </c>
      <c r="C24" s="5">
        <v>41</v>
      </c>
      <c r="D24" s="5" t="s">
        <v>12</v>
      </c>
      <c r="E24" s="5">
        <v>31.5</v>
      </c>
      <c r="F24" s="5">
        <v>0</v>
      </c>
      <c r="G24" s="5" t="s">
        <v>9</v>
      </c>
      <c r="H24" s="5" t="s">
        <v>46</v>
      </c>
      <c r="I24" s="5">
        <v>19600</v>
      </c>
    </row>
    <row r="25" spans="2:9" x14ac:dyDescent="0.3">
      <c r="B25" s="5" t="s">
        <v>47</v>
      </c>
      <c r="C25" s="5">
        <v>46</v>
      </c>
      <c r="D25" s="5" t="s">
        <v>8</v>
      </c>
      <c r="E25" s="5">
        <v>34.200000000000003</v>
      </c>
      <c r="F25" s="5">
        <v>2</v>
      </c>
      <c r="G25" s="5" t="s">
        <v>9</v>
      </c>
      <c r="H25" s="5" t="s">
        <v>48</v>
      </c>
      <c r="I25" s="5">
        <v>17280</v>
      </c>
    </row>
    <row r="26" spans="2:9" x14ac:dyDescent="0.3">
      <c r="B26" s="5" t="s">
        <v>49</v>
      </c>
      <c r="C26" s="5">
        <v>30</v>
      </c>
      <c r="D26" s="5" t="s">
        <v>12</v>
      </c>
      <c r="E26" s="5">
        <v>26</v>
      </c>
      <c r="F26" s="5">
        <v>1</v>
      </c>
      <c r="G26" s="5" t="s">
        <v>9</v>
      </c>
      <c r="H26" s="5" t="s">
        <v>50</v>
      </c>
      <c r="I26" s="5">
        <v>12210</v>
      </c>
    </row>
    <row r="27" spans="2:9" x14ac:dyDescent="0.3">
      <c r="B27" s="5" t="s">
        <v>51</v>
      </c>
      <c r="C27" s="5">
        <v>44</v>
      </c>
      <c r="D27" s="5" t="s">
        <v>8</v>
      </c>
      <c r="E27" s="5">
        <v>29.6</v>
      </c>
      <c r="F27" s="5">
        <v>3</v>
      </c>
      <c r="G27" s="5" t="s">
        <v>15</v>
      </c>
      <c r="H27" s="5" t="s">
        <v>52</v>
      </c>
      <c r="I27" s="5">
        <v>28980</v>
      </c>
    </row>
    <row r="28" spans="2:9" x14ac:dyDescent="0.3">
      <c r="B28" s="5" t="s">
        <v>53</v>
      </c>
      <c r="C28" s="5">
        <v>35</v>
      </c>
      <c r="D28" s="5" t="s">
        <v>12</v>
      </c>
      <c r="E28" s="5">
        <v>28.8</v>
      </c>
      <c r="F28" s="5">
        <v>0</v>
      </c>
      <c r="G28" s="5" t="s">
        <v>9</v>
      </c>
      <c r="H28" s="5" t="s">
        <v>54</v>
      </c>
      <c r="I28" s="5">
        <v>12210</v>
      </c>
    </row>
    <row r="29" spans="2:9" x14ac:dyDescent="0.3">
      <c r="B29" s="5" t="s">
        <v>55</v>
      </c>
      <c r="C29" s="5">
        <v>49</v>
      </c>
      <c r="D29" s="5" t="s">
        <v>8</v>
      </c>
      <c r="E29" s="5">
        <v>33.799999999999997</v>
      </c>
      <c r="F29" s="5">
        <v>2</v>
      </c>
      <c r="G29" s="5" t="s">
        <v>9</v>
      </c>
      <c r="H29" s="5" t="s">
        <v>56</v>
      </c>
      <c r="I29" s="5">
        <v>25760</v>
      </c>
    </row>
    <row r="30" spans="2:9" x14ac:dyDescent="0.3">
      <c r="B30" s="5" t="s">
        <v>57</v>
      </c>
      <c r="C30" s="5">
        <v>34</v>
      </c>
      <c r="D30" s="5" t="s">
        <v>12</v>
      </c>
      <c r="E30" s="5">
        <v>25.9</v>
      </c>
      <c r="F30" s="5">
        <v>1</v>
      </c>
      <c r="G30" s="5" t="s">
        <v>9</v>
      </c>
      <c r="H30" s="5" t="s">
        <v>58</v>
      </c>
      <c r="I30" s="5">
        <v>9600</v>
      </c>
    </row>
    <row r="31" spans="2:9" x14ac:dyDescent="0.3">
      <c r="B31" s="5" t="s">
        <v>59</v>
      </c>
      <c r="C31" s="5">
        <v>38</v>
      </c>
      <c r="D31" s="5" t="s">
        <v>8</v>
      </c>
      <c r="E31" s="5">
        <v>26.3</v>
      </c>
      <c r="F31" s="5">
        <v>2</v>
      </c>
      <c r="G31" s="5" t="s">
        <v>15</v>
      </c>
      <c r="H31" s="5" t="s">
        <v>60</v>
      </c>
      <c r="I31" s="5">
        <v>30550</v>
      </c>
    </row>
    <row r="32" spans="2:9" x14ac:dyDescent="0.3">
      <c r="B32" s="5" t="s">
        <v>61</v>
      </c>
      <c r="C32" s="5">
        <v>27</v>
      </c>
      <c r="D32" s="5" t="s">
        <v>12</v>
      </c>
      <c r="E32" s="5">
        <v>24.5</v>
      </c>
      <c r="F32" s="5">
        <v>0</v>
      </c>
      <c r="G32" s="5" t="s">
        <v>9</v>
      </c>
      <c r="H32" s="5" t="s">
        <v>62</v>
      </c>
      <c r="I32" s="5">
        <v>13050</v>
      </c>
    </row>
    <row r="33" spans="2:9" x14ac:dyDescent="0.3">
      <c r="B33" s="5" t="s">
        <v>63</v>
      </c>
      <c r="C33" s="5">
        <v>52</v>
      </c>
      <c r="D33" s="5" t="s">
        <v>8</v>
      </c>
      <c r="E33" s="5">
        <v>35.1</v>
      </c>
      <c r="F33" s="5">
        <v>3</v>
      </c>
      <c r="G33" s="5" t="s">
        <v>15</v>
      </c>
      <c r="H33" s="5" t="s">
        <v>64</v>
      </c>
      <c r="I33" s="5">
        <v>23760</v>
      </c>
    </row>
    <row r="34" spans="2:9" x14ac:dyDescent="0.3">
      <c r="B34" s="5" t="s">
        <v>65</v>
      </c>
      <c r="C34" s="5">
        <v>33</v>
      </c>
      <c r="D34" s="5" t="s">
        <v>12</v>
      </c>
      <c r="E34" s="5">
        <v>27.6</v>
      </c>
      <c r="F34" s="5">
        <v>1</v>
      </c>
      <c r="G34" s="5" t="s">
        <v>9</v>
      </c>
      <c r="H34" s="5" t="s">
        <v>66</v>
      </c>
      <c r="I34" s="5">
        <v>13940</v>
      </c>
    </row>
    <row r="35" spans="2:9" x14ac:dyDescent="0.3">
      <c r="B35" s="5" t="s">
        <v>67</v>
      </c>
      <c r="C35" s="5">
        <v>50</v>
      </c>
      <c r="D35" s="5" t="s">
        <v>8</v>
      </c>
      <c r="E35" s="5">
        <v>31.8</v>
      </c>
      <c r="F35" s="5">
        <v>2</v>
      </c>
      <c r="G35" s="5" t="s">
        <v>9</v>
      </c>
      <c r="H35" s="5" t="s">
        <v>68</v>
      </c>
      <c r="I35" s="5">
        <v>21830</v>
      </c>
    </row>
    <row r="36" spans="2:9" x14ac:dyDescent="0.3">
      <c r="B36" s="5" t="s">
        <v>69</v>
      </c>
      <c r="C36" s="5">
        <v>39</v>
      </c>
      <c r="D36" s="5" t="s">
        <v>12</v>
      </c>
      <c r="E36" s="5">
        <v>29.2</v>
      </c>
      <c r="F36" s="5">
        <v>0</v>
      </c>
      <c r="G36" s="5" t="s">
        <v>9</v>
      </c>
      <c r="H36" s="5" t="s">
        <v>70</v>
      </c>
      <c r="I36" s="5">
        <v>19270</v>
      </c>
    </row>
    <row r="37" spans="2:9" x14ac:dyDescent="0.3">
      <c r="B37" s="5" t="s">
        <v>71</v>
      </c>
      <c r="C37" s="5">
        <v>47</v>
      </c>
      <c r="D37" s="5" t="s">
        <v>8</v>
      </c>
      <c r="E37" s="5">
        <v>32.5</v>
      </c>
      <c r="F37" s="5">
        <v>3</v>
      </c>
      <c r="G37" s="5" t="s">
        <v>15</v>
      </c>
      <c r="H37" s="5" t="s">
        <v>72</v>
      </c>
      <c r="I37" s="5">
        <v>22400</v>
      </c>
    </row>
    <row r="38" spans="2:9" x14ac:dyDescent="0.3">
      <c r="B38" s="5" t="s">
        <v>73</v>
      </c>
      <c r="C38" s="5">
        <v>31</v>
      </c>
      <c r="D38" s="5" t="s">
        <v>12</v>
      </c>
      <c r="E38" s="5">
        <v>26.5</v>
      </c>
      <c r="F38" s="5">
        <v>1</v>
      </c>
      <c r="G38" s="5" t="s">
        <v>9</v>
      </c>
      <c r="H38" s="5" t="s">
        <v>74</v>
      </c>
      <c r="I38" s="5">
        <v>16100</v>
      </c>
    </row>
    <row r="39" spans="2:9" x14ac:dyDescent="0.3">
      <c r="B39" s="5" t="s">
        <v>75</v>
      </c>
      <c r="C39" s="5">
        <v>45</v>
      </c>
      <c r="D39" s="5" t="s">
        <v>8</v>
      </c>
      <c r="E39" s="5">
        <v>30.3</v>
      </c>
      <c r="F39" s="5">
        <v>2</v>
      </c>
      <c r="G39" s="5" t="s">
        <v>9</v>
      </c>
      <c r="H39" s="5" t="s">
        <v>76</v>
      </c>
      <c r="I39" s="5">
        <v>25080</v>
      </c>
    </row>
    <row r="40" spans="2:9" x14ac:dyDescent="0.3">
      <c r="B40" s="5" t="s">
        <v>77</v>
      </c>
      <c r="C40" s="5">
        <v>37</v>
      </c>
      <c r="D40" s="5" t="s">
        <v>12</v>
      </c>
      <c r="E40" s="5">
        <v>28</v>
      </c>
      <c r="F40" s="5">
        <v>0</v>
      </c>
      <c r="G40" s="5" t="s">
        <v>9</v>
      </c>
      <c r="H40" s="5" t="s">
        <v>78</v>
      </c>
      <c r="I40" s="5">
        <v>14430</v>
      </c>
    </row>
    <row r="41" spans="2:9" x14ac:dyDescent="0.3">
      <c r="B41" s="5" t="s">
        <v>79</v>
      </c>
      <c r="C41" s="5">
        <v>48</v>
      </c>
      <c r="D41" s="5" t="s">
        <v>8</v>
      </c>
      <c r="E41" s="5">
        <v>33.5</v>
      </c>
      <c r="F41" s="5">
        <v>3</v>
      </c>
      <c r="G41" s="5" t="s">
        <v>15</v>
      </c>
      <c r="H41" s="5" t="s">
        <v>80</v>
      </c>
      <c r="I41" s="5">
        <v>30530</v>
      </c>
    </row>
    <row r="42" spans="2:9" x14ac:dyDescent="0.3">
      <c r="B42" s="5" t="s">
        <v>81</v>
      </c>
      <c r="C42" s="5">
        <v>29</v>
      </c>
      <c r="D42" s="5" t="s">
        <v>12</v>
      </c>
      <c r="E42" s="5">
        <v>25.3</v>
      </c>
      <c r="F42" s="5">
        <v>1</v>
      </c>
      <c r="G42" s="5" t="s">
        <v>9</v>
      </c>
      <c r="H42" s="5" t="s">
        <v>82</v>
      </c>
      <c r="I42" s="5">
        <v>9900</v>
      </c>
    </row>
    <row r="43" spans="2:9" x14ac:dyDescent="0.3">
      <c r="B43" s="5" t="s">
        <v>83</v>
      </c>
      <c r="C43" s="5">
        <v>51</v>
      </c>
      <c r="D43" s="5" t="s">
        <v>8</v>
      </c>
      <c r="E43" s="5">
        <v>34.700000000000003</v>
      </c>
      <c r="F43" s="5">
        <v>2</v>
      </c>
      <c r="G43" s="5" t="s">
        <v>9</v>
      </c>
      <c r="H43" s="5" t="s">
        <v>84</v>
      </c>
      <c r="I43" s="5">
        <v>22200</v>
      </c>
    </row>
    <row r="44" spans="2:9" x14ac:dyDescent="0.3">
      <c r="B44" s="5" t="s">
        <v>85</v>
      </c>
      <c r="C44" s="5">
        <v>32</v>
      </c>
      <c r="D44" s="5" t="s">
        <v>12</v>
      </c>
      <c r="E44" s="5">
        <v>27.2</v>
      </c>
      <c r="F44" s="5">
        <v>0</v>
      </c>
      <c r="G44" s="5" t="s">
        <v>9</v>
      </c>
      <c r="H44" s="5" t="s">
        <v>86</v>
      </c>
      <c r="I44" s="5">
        <v>15480</v>
      </c>
    </row>
    <row r="45" spans="2:9" x14ac:dyDescent="0.3">
      <c r="B45" s="5" t="s">
        <v>87</v>
      </c>
      <c r="C45" s="5">
        <v>46</v>
      </c>
      <c r="D45" s="5" t="s">
        <v>8</v>
      </c>
      <c r="E45" s="5">
        <v>31</v>
      </c>
      <c r="F45" s="5">
        <v>3</v>
      </c>
      <c r="G45" s="5" t="s">
        <v>15</v>
      </c>
      <c r="H45" s="5" t="s">
        <v>88</v>
      </c>
      <c r="I45" s="5">
        <v>24480</v>
      </c>
    </row>
    <row r="46" spans="2:9" x14ac:dyDescent="0.3">
      <c r="B46" s="5" t="s">
        <v>89</v>
      </c>
      <c r="C46" s="5">
        <v>36</v>
      </c>
      <c r="D46" s="5" t="s">
        <v>12</v>
      </c>
      <c r="E46" s="5">
        <v>29.1</v>
      </c>
      <c r="F46" s="5">
        <v>1</v>
      </c>
      <c r="G46" s="5" t="s">
        <v>9</v>
      </c>
      <c r="H46" s="5" t="s">
        <v>90</v>
      </c>
      <c r="I46" s="5">
        <v>12000</v>
      </c>
    </row>
    <row r="47" spans="2:9" x14ac:dyDescent="0.3">
      <c r="B47" s="5" t="s">
        <v>91</v>
      </c>
      <c r="C47" s="5">
        <v>49</v>
      </c>
      <c r="D47" s="5" t="s">
        <v>8</v>
      </c>
      <c r="E47" s="5">
        <v>32.799999999999997</v>
      </c>
      <c r="F47" s="5">
        <v>2</v>
      </c>
      <c r="G47" s="5" t="s">
        <v>9</v>
      </c>
      <c r="H47" s="5" t="s">
        <v>92</v>
      </c>
      <c r="I47" s="5">
        <v>28060</v>
      </c>
    </row>
    <row r="48" spans="2:9" x14ac:dyDescent="0.3">
      <c r="B48" s="5" t="s">
        <v>93</v>
      </c>
      <c r="C48" s="5">
        <v>38</v>
      </c>
      <c r="D48" s="5" t="s">
        <v>12</v>
      </c>
      <c r="E48" s="5">
        <v>27.8</v>
      </c>
      <c r="F48" s="5">
        <v>0</v>
      </c>
      <c r="G48" s="5" t="s">
        <v>9</v>
      </c>
      <c r="H48" s="5" t="s">
        <v>94</v>
      </c>
      <c r="I48" s="5">
        <v>14060</v>
      </c>
    </row>
    <row r="49" spans="2:9" x14ac:dyDescent="0.3">
      <c r="B49" s="5" t="s">
        <v>95</v>
      </c>
      <c r="C49" s="5">
        <v>53</v>
      </c>
      <c r="D49" s="5" t="s">
        <v>8</v>
      </c>
      <c r="E49" s="5">
        <v>35.299999999999997</v>
      </c>
      <c r="F49" s="5">
        <v>3</v>
      </c>
      <c r="G49" s="5" t="s">
        <v>15</v>
      </c>
      <c r="H49" s="5" t="s">
        <v>96</v>
      </c>
      <c r="I49" s="5">
        <v>32120</v>
      </c>
    </row>
    <row r="50" spans="2:9" x14ac:dyDescent="0.3">
      <c r="B50" s="5" t="s">
        <v>97</v>
      </c>
      <c r="C50" s="5">
        <v>34</v>
      </c>
      <c r="D50" s="5" t="s">
        <v>12</v>
      </c>
      <c r="E50" s="5">
        <v>26.4</v>
      </c>
      <c r="F50" s="5">
        <v>1</v>
      </c>
      <c r="G50" s="5" t="s">
        <v>9</v>
      </c>
      <c r="H50" s="5" t="s">
        <v>98</v>
      </c>
      <c r="I50" s="5">
        <v>15640</v>
      </c>
    </row>
    <row r="51" spans="2:9" x14ac:dyDescent="0.3">
      <c r="B51" s="5" t="s">
        <v>99</v>
      </c>
      <c r="C51" s="5">
        <v>48</v>
      </c>
      <c r="D51" s="5" t="s">
        <v>8</v>
      </c>
      <c r="E51" s="5">
        <v>31.7</v>
      </c>
      <c r="F51" s="5">
        <v>2</v>
      </c>
      <c r="G51" s="5" t="s">
        <v>9</v>
      </c>
      <c r="H51" s="5" t="s">
        <v>100</v>
      </c>
      <c r="I51" s="5">
        <v>20880</v>
      </c>
    </row>
    <row r="52" spans="2:9" x14ac:dyDescent="0.3">
      <c r="B52" s="5" t="s">
        <v>101</v>
      </c>
      <c r="C52" s="5">
        <v>30</v>
      </c>
      <c r="D52" s="5" t="s">
        <v>12</v>
      </c>
      <c r="E52" s="5">
        <v>25.8</v>
      </c>
      <c r="F52" s="5">
        <v>0</v>
      </c>
      <c r="G52" s="5" t="s">
        <v>9</v>
      </c>
      <c r="H52" s="5" t="s">
        <v>102</v>
      </c>
      <c r="I52" s="5">
        <v>11840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943C3-E1E2-46BD-9EA7-925769FB2A0A}">
  <sheetPr>
    <tabColor theme="1" tint="4.9989318521683403E-2"/>
  </sheetPr>
  <dimension ref="A1:K314"/>
  <sheetViews>
    <sheetView showGridLines="0" zoomScale="67" workbookViewId="0">
      <selection sqref="A1:K47"/>
    </sheetView>
  </sheetViews>
  <sheetFormatPr defaultRowHeight="14.4" x14ac:dyDescent="0.3"/>
  <cols>
    <col min="1" max="1" width="14.6640625" style="16" customWidth="1"/>
    <col min="2" max="2" width="22.6640625" style="14" customWidth="1"/>
    <col min="3" max="11" width="22.6640625" style="8" customWidth="1"/>
    <col min="12" max="12" width="14.33203125" customWidth="1"/>
  </cols>
  <sheetData>
    <row r="1" spans="1:11" ht="15.6" x14ac:dyDescent="0.3">
      <c r="A1" s="15" t="s">
        <v>110</v>
      </c>
      <c r="B1" s="12" t="s">
        <v>1</v>
      </c>
      <c r="C1" s="6" t="s">
        <v>2</v>
      </c>
      <c r="D1" s="6" t="s">
        <v>3</v>
      </c>
      <c r="E1" s="6" t="s">
        <v>4</v>
      </c>
      <c r="F1" s="6" t="s">
        <v>5</v>
      </c>
      <c r="G1" s="6" t="s">
        <v>6</v>
      </c>
      <c r="H1" s="6" t="s">
        <v>104</v>
      </c>
      <c r="I1" s="6" t="s">
        <v>105</v>
      </c>
      <c r="J1" s="9" t="s">
        <v>106</v>
      </c>
      <c r="K1" s="6" t="s">
        <v>107</v>
      </c>
    </row>
    <row r="2" spans="1:11" x14ac:dyDescent="0.3">
      <c r="A2" s="16">
        <v>1</v>
      </c>
      <c r="B2" s="13" t="s">
        <v>7</v>
      </c>
      <c r="C2" s="7">
        <v>35</v>
      </c>
      <c r="D2" s="7" t="s">
        <v>8</v>
      </c>
      <c r="E2" s="7">
        <v>29.5</v>
      </c>
      <c r="F2" s="7">
        <v>0</v>
      </c>
      <c r="G2" s="7" t="s">
        <v>9</v>
      </c>
      <c r="H2" s="7" t="s">
        <v>10</v>
      </c>
      <c r="I2" s="7">
        <v>16450</v>
      </c>
      <c r="J2" s="8" t="str">
        <f>IF(E2&lt;18.5,"Underweight",IF(E2&lt;25,"Normal",IF(E2&lt;30,"Overweight","Obese")))</f>
        <v>Overweight</v>
      </c>
      <c r="K2" s="8" t="str">
        <f>IF(C2&lt;30,"Adult",IF(C2&lt;50,"JR","SR"))</f>
        <v>JR</v>
      </c>
    </row>
    <row r="3" spans="1:11" x14ac:dyDescent="0.3">
      <c r="A3" s="16">
        <v>2</v>
      </c>
      <c r="B3" s="13" t="s">
        <v>11</v>
      </c>
      <c r="C3" s="7">
        <v>42</v>
      </c>
      <c r="D3" s="7" t="s">
        <v>12</v>
      </c>
      <c r="E3" s="7">
        <v>26.8</v>
      </c>
      <c r="F3" s="7">
        <v>2</v>
      </c>
      <c r="G3" s="7" t="s">
        <v>9</v>
      </c>
      <c r="H3" s="7" t="s">
        <v>13</v>
      </c>
      <c r="I3" s="7">
        <v>21600</v>
      </c>
      <c r="J3" s="8" t="str">
        <f t="shared" ref="J3:J47" si="0">IF(E3&lt;18.5,"Underweight",IF(E3&lt;25,"Normal",IF(E3&lt;30,"Overweight","Obese")))</f>
        <v>Overweight</v>
      </c>
      <c r="K3" s="8" t="str">
        <f t="shared" ref="K3:K47" si="1">IF(C3&lt;30,"Adult",IF(C3&lt;50,"JR","SR"))</f>
        <v>JR</v>
      </c>
    </row>
    <row r="4" spans="1:11" x14ac:dyDescent="0.3">
      <c r="A4" s="16">
        <v>3</v>
      </c>
      <c r="B4" s="13" t="s">
        <v>14</v>
      </c>
      <c r="C4" s="7">
        <v>50</v>
      </c>
      <c r="D4" s="7" t="s">
        <v>8</v>
      </c>
      <c r="E4" s="7">
        <v>31.2</v>
      </c>
      <c r="F4" s="7">
        <v>3</v>
      </c>
      <c r="G4" s="7" t="s">
        <v>15</v>
      </c>
      <c r="H4" s="7" t="s">
        <v>16</v>
      </c>
      <c r="I4" s="7">
        <v>21080</v>
      </c>
      <c r="J4" s="8" t="str">
        <f t="shared" si="0"/>
        <v>Obese</v>
      </c>
      <c r="K4" s="8" t="str">
        <f t="shared" si="1"/>
        <v>SR</v>
      </c>
    </row>
    <row r="5" spans="1:11" x14ac:dyDescent="0.3">
      <c r="A5" s="16">
        <v>4</v>
      </c>
      <c r="B5" s="13" t="s">
        <v>17</v>
      </c>
      <c r="C5" s="7">
        <v>28</v>
      </c>
      <c r="D5" s="7" t="s">
        <v>12</v>
      </c>
      <c r="E5" s="7">
        <v>22.3</v>
      </c>
      <c r="F5" s="7">
        <v>1</v>
      </c>
      <c r="G5" s="7" t="s">
        <v>9</v>
      </c>
      <c r="H5" s="7" t="s">
        <v>18</v>
      </c>
      <c r="I5" s="7">
        <v>10080</v>
      </c>
      <c r="J5" s="8" t="str">
        <f t="shared" si="0"/>
        <v>Normal</v>
      </c>
      <c r="K5" s="8" t="str">
        <f t="shared" si="1"/>
        <v>Adult</v>
      </c>
    </row>
    <row r="6" spans="1:11" x14ac:dyDescent="0.3">
      <c r="A6" s="16">
        <v>5</v>
      </c>
      <c r="B6" s="13" t="s">
        <v>19</v>
      </c>
      <c r="C6" s="7">
        <v>39</v>
      </c>
      <c r="D6" s="7" t="s">
        <v>8</v>
      </c>
      <c r="E6" s="7">
        <v>28.1</v>
      </c>
      <c r="F6" s="7">
        <v>2</v>
      </c>
      <c r="G6" s="7" t="s">
        <v>9</v>
      </c>
      <c r="H6" s="7" t="s">
        <v>20</v>
      </c>
      <c r="I6" s="7">
        <v>17640</v>
      </c>
      <c r="J6" s="8" t="str">
        <f t="shared" si="0"/>
        <v>Overweight</v>
      </c>
      <c r="K6" s="8" t="str">
        <f t="shared" si="1"/>
        <v>JR</v>
      </c>
    </row>
    <row r="7" spans="1:11" x14ac:dyDescent="0.3">
      <c r="A7" s="16">
        <v>6</v>
      </c>
      <c r="B7" s="13" t="s">
        <v>21</v>
      </c>
      <c r="C7" s="7">
        <v>45</v>
      </c>
      <c r="D7" s="7" t="s">
        <v>12</v>
      </c>
      <c r="E7" s="7">
        <v>29.9</v>
      </c>
      <c r="F7" s="7">
        <v>0</v>
      </c>
      <c r="G7" s="7" t="s">
        <v>9</v>
      </c>
      <c r="H7" s="7" t="s">
        <v>22</v>
      </c>
      <c r="I7" s="7">
        <v>18000</v>
      </c>
      <c r="J7" s="8" t="str">
        <f t="shared" si="0"/>
        <v>Overweight</v>
      </c>
      <c r="K7" s="8" t="str">
        <f t="shared" si="1"/>
        <v>JR</v>
      </c>
    </row>
    <row r="8" spans="1:11" x14ac:dyDescent="0.3">
      <c r="A8" s="16">
        <v>7</v>
      </c>
      <c r="B8" s="13" t="s">
        <v>23</v>
      </c>
      <c r="C8" s="7">
        <v>33</v>
      </c>
      <c r="D8" s="7" t="s">
        <v>8</v>
      </c>
      <c r="E8" s="7">
        <v>25.5</v>
      </c>
      <c r="F8" s="7">
        <v>1</v>
      </c>
      <c r="G8" s="7" t="s">
        <v>9</v>
      </c>
      <c r="H8" s="7" t="s">
        <v>24</v>
      </c>
      <c r="I8" s="7">
        <v>11520</v>
      </c>
      <c r="J8" s="8" t="str">
        <f t="shared" si="0"/>
        <v>Overweight</v>
      </c>
      <c r="K8" s="8" t="str">
        <f t="shared" si="1"/>
        <v>JR</v>
      </c>
    </row>
    <row r="9" spans="1:11" x14ac:dyDescent="0.3">
      <c r="A9" s="16">
        <v>8</v>
      </c>
      <c r="B9" s="13" t="s">
        <v>25</v>
      </c>
      <c r="C9" s="7">
        <v>37</v>
      </c>
      <c r="D9" s="7" t="s">
        <v>12</v>
      </c>
      <c r="E9" s="7">
        <v>27.4</v>
      </c>
      <c r="F9" s="7">
        <v>2</v>
      </c>
      <c r="G9" s="7" t="s">
        <v>15</v>
      </c>
      <c r="H9" s="7" t="s">
        <v>26</v>
      </c>
      <c r="I9" s="7">
        <v>16120</v>
      </c>
      <c r="J9" s="8" t="str">
        <f t="shared" si="0"/>
        <v>Overweight</v>
      </c>
      <c r="K9" s="8" t="str">
        <f t="shared" si="1"/>
        <v>JR</v>
      </c>
    </row>
    <row r="10" spans="1:11" x14ac:dyDescent="0.3">
      <c r="A10" s="16">
        <v>9</v>
      </c>
      <c r="B10" s="13" t="s">
        <v>27</v>
      </c>
      <c r="C10" s="7">
        <v>47</v>
      </c>
      <c r="D10" s="7" t="s">
        <v>8</v>
      </c>
      <c r="E10" s="7">
        <v>33</v>
      </c>
      <c r="F10" s="7">
        <v>3</v>
      </c>
      <c r="G10" s="7" t="s">
        <v>9</v>
      </c>
      <c r="H10" s="7" t="s">
        <v>28</v>
      </c>
      <c r="I10" s="7">
        <v>19720</v>
      </c>
      <c r="J10" s="8" t="str">
        <f t="shared" si="0"/>
        <v>Obese</v>
      </c>
      <c r="K10" s="8" t="str">
        <f t="shared" si="1"/>
        <v>JR</v>
      </c>
    </row>
    <row r="11" spans="1:11" x14ac:dyDescent="0.3">
      <c r="A11" s="16">
        <v>10</v>
      </c>
      <c r="B11" s="13" t="s">
        <v>29</v>
      </c>
      <c r="C11" s="7">
        <v>31</v>
      </c>
      <c r="D11" s="7" t="s">
        <v>12</v>
      </c>
      <c r="E11" s="7">
        <v>24.7</v>
      </c>
      <c r="F11" s="7">
        <v>0</v>
      </c>
      <c r="G11" s="7" t="s">
        <v>9</v>
      </c>
      <c r="H11" s="7" t="s">
        <v>30</v>
      </c>
      <c r="I11" s="7">
        <v>11100</v>
      </c>
      <c r="J11" s="8" t="str">
        <f t="shared" si="0"/>
        <v>Normal</v>
      </c>
      <c r="K11" s="8" t="str">
        <f t="shared" si="1"/>
        <v>JR</v>
      </c>
    </row>
    <row r="12" spans="1:11" x14ac:dyDescent="0.3">
      <c r="A12" s="16">
        <v>11</v>
      </c>
      <c r="B12" s="13" t="s">
        <v>31</v>
      </c>
      <c r="C12" s="7">
        <v>40</v>
      </c>
      <c r="D12" s="7" t="s">
        <v>8</v>
      </c>
      <c r="E12" s="7">
        <v>30.5</v>
      </c>
      <c r="F12" s="7">
        <v>2</v>
      </c>
      <c r="G12" s="7" t="s">
        <v>9</v>
      </c>
      <c r="H12" s="7" t="s">
        <v>32</v>
      </c>
      <c r="I12" s="7">
        <v>18920</v>
      </c>
      <c r="J12" s="8" t="str">
        <f t="shared" si="0"/>
        <v>Obese</v>
      </c>
      <c r="K12" s="8" t="str">
        <f t="shared" si="1"/>
        <v>JR</v>
      </c>
    </row>
    <row r="13" spans="1:11" x14ac:dyDescent="0.3">
      <c r="A13" s="16">
        <v>12</v>
      </c>
      <c r="B13" s="13" t="s">
        <v>33</v>
      </c>
      <c r="C13" s="7">
        <v>29</v>
      </c>
      <c r="D13" s="7" t="s">
        <v>12</v>
      </c>
      <c r="E13" s="7">
        <v>23.9</v>
      </c>
      <c r="F13" s="7">
        <v>1</v>
      </c>
      <c r="G13" s="7" t="s">
        <v>9</v>
      </c>
      <c r="H13" s="7" t="s">
        <v>34</v>
      </c>
      <c r="I13" s="7">
        <v>11020</v>
      </c>
      <c r="J13" s="8" t="str">
        <f t="shared" si="0"/>
        <v>Normal</v>
      </c>
      <c r="K13" s="8" t="str">
        <f t="shared" si="1"/>
        <v>Adult</v>
      </c>
    </row>
    <row r="14" spans="1:11" x14ac:dyDescent="0.3">
      <c r="A14" s="16">
        <v>13</v>
      </c>
      <c r="B14" s="13" t="s">
        <v>35</v>
      </c>
      <c r="C14" s="7">
        <v>48</v>
      </c>
      <c r="D14" s="7" t="s">
        <v>8</v>
      </c>
      <c r="E14" s="7">
        <v>32.700000000000003</v>
      </c>
      <c r="F14" s="7">
        <v>3</v>
      </c>
      <c r="G14" s="7" t="s">
        <v>15</v>
      </c>
      <c r="H14" s="7" t="s">
        <v>36</v>
      </c>
      <c r="I14" s="7">
        <v>18600</v>
      </c>
      <c r="J14" s="8" t="str">
        <f t="shared" si="0"/>
        <v>Obese</v>
      </c>
      <c r="K14" s="8" t="str">
        <f t="shared" si="1"/>
        <v>JR</v>
      </c>
    </row>
    <row r="15" spans="1:11" x14ac:dyDescent="0.3">
      <c r="A15" s="16">
        <v>14</v>
      </c>
      <c r="B15" s="13" t="s">
        <v>37</v>
      </c>
      <c r="C15" s="7">
        <v>36</v>
      </c>
      <c r="D15" s="7" t="s">
        <v>12</v>
      </c>
      <c r="E15" s="7">
        <v>28.3</v>
      </c>
      <c r="F15" s="7">
        <v>0</v>
      </c>
      <c r="G15" s="7" t="s">
        <v>9</v>
      </c>
      <c r="H15" s="7" t="s">
        <v>38</v>
      </c>
      <c r="I15" s="7">
        <v>15960</v>
      </c>
      <c r="J15" s="8" t="str">
        <f t="shared" si="0"/>
        <v>Overweight</v>
      </c>
      <c r="K15" s="8" t="str">
        <f t="shared" si="1"/>
        <v>JR</v>
      </c>
    </row>
    <row r="16" spans="1:11" x14ac:dyDescent="0.3">
      <c r="A16" s="16">
        <v>15</v>
      </c>
      <c r="B16" s="13" t="s">
        <v>39</v>
      </c>
      <c r="C16" s="7">
        <v>43</v>
      </c>
      <c r="D16" s="7" t="s">
        <v>8</v>
      </c>
      <c r="E16" s="7">
        <v>29.8</v>
      </c>
      <c r="F16" s="7">
        <v>2</v>
      </c>
      <c r="G16" s="7" t="s">
        <v>9</v>
      </c>
      <c r="H16" s="7" t="s">
        <v>40</v>
      </c>
      <c r="I16" s="7">
        <v>17550</v>
      </c>
      <c r="J16" s="8" t="str">
        <f t="shared" si="0"/>
        <v>Overweight</v>
      </c>
      <c r="K16" s="8" t="str">
        <f t="shared" si="1"/>
        <v>JR</v>
      </c>
    </row>
    <row r="17" spans="1:11" x14ac:dyDescent="0.3">
      <c r="A17" s="16">
        <v>16</v>
      </c>
      <c r="B17" s="13" t="s">
        <v>41</v>
      </c>
      <c r="C17" s="7">
        <v>32</v>
      </c>
      <c r="D17" s="7" t="s">
        <v>12</v>
      </c>
      <c r="E17" s="7">
        <v>25.1</v>
      </c>
      <c r="F17" s="7">
        <v>1</v>
      </c>
      <c r="G17" s="7" t="s">
        <v>9</v>
      </c>
      <c r="H17" s="7" t="s">
        <v>42</v>
      </c>
      <c r="I17" s="7">
        <v>10540</v>
      </c>
      <c r="J17" s="8" t="str">
        <f t="shared" si="0"/>
        <v>Overweight</v>
      </c>
      <c r="K17" s="8" t="str">
        <f t="shared" si="1"/>
        <v>JR</v>
      </c>
    </row>
    <row r="18" spans="1:11" x14ac:dyDescent="0.3">
      <c r="A18" s="16">
        <v>17</v>
      </c>
      <c r="B18" s="13" t="s">
        <v>43</v>
      </c>
      <c r="C18" s="7">
        <v>39</v>
      </c>
      <c r="D18" s="7" t="s">
        <v>8</v>
      </c>
      <c r="E18" s="7">
        <v>27.9</v>
      </c>
      <c r="F18" s="7">
        <v>3</v>
      </c>
      <c r="G18" s="7" t="s">
        <v>15</v>
      </c>
      <c r="H18" s="7" t="s">
        <v>44</v>
      </c>
      <c r="I18" s="7">
        <v>20100</v>
      </c>
      <c r="J18" s="8" t="str">
        <f t="shared" si="0"/>
        <v>Overweight</v>
      </c>
      <c r="K18" s="8" t="str">
        <f t="shared" si="1"/>
        <v>JR</v>
      </c>
    </row>
    <row r="19" spans="1:11" x14ac:dyDescent="0.3">
      <c r="A19" s="16">
        <v>18</v>
      </c>
      <c r="B19" s="13" t="s">
        <v>45</v>
      </c>
      <c r="C19" s="7">
        <v>41</v>
      </c>
      <c r="D19" s="7" t="s">
        <v>12</v>
      </c>
      <c r="E19" s="7">
        <v>31.5</v>
      </c>
      <c r="F19" s="7">
        <v>0</v>
      </c>
      <c r="G19" s="7" t="s">
        <v>9</v>
      </c>
      <c r="H19" s="7" t="s">
        <v>46</v>
      </c>
      <c r="I19" s="7">
        <v>19600</v>
      </c>
      <c r="J19" s="8" t="str">
        <f t="shared" si="0"/>
        <v>Obese</v>
      </c>
      <c r="K19" s="8" t="str">
        <f t="shared" si="1"/>
        <v>JR</v>
      </c>
    </row>
    <row r="20" spans="1:11" x14ac:dyDescent="0.3">
      <c r="A20" s="16">
        <v>19</v>
      </c>
      <c r="B20" s="13" t="s">
        <v>47</v>
      </c>
      <c r="C20" s="7">
        <v>46</v>
      </c>
      <c r="D20" s="7" t="s">
        <v>8</v>
      </c>
      <c r="E20" s="7">
        <v>34.200000000000003</v>
      </c>
      <c r="F20" s="7">
        <v>2</v>
      </c>
      <c r="G20" s="7" t="s">
        <v>9</v>
      </c>
      <c r="H20" s="7" t="s">
        <v>48</v>
      </c>
      <c r="I20" s="7">
        <v>17280</v>
      </c>
      <c r="J20" s="8" t="str">
        <f t="shared" si="0"/>
        <v>Obese</v>
      </c>
      <c r="K20" s="8" t="str">
        <f t="shared" si="1"/>
        <v>JR</v>
      </c>
    </row>
    <row r="21" spans="1:11" x14ac:dyDescent="0.3">
      <c r="A21" s="16">
        <v>20</v>
      </c>
      <c r="B21" s="13" t="s">
        <v>49</v>
      </c>
      <c r="C21" s="7">
        <v>30</v>
      </c>
      <c r="D21" s="7" t="s">
        <v>12</v>
      </c>
      <c r="E21" s="7">
        <v>26</v>
      </c>
      <c r="F21" s="7">
        <v>1</v>
      </c>
      <c r="G21" s="7" t="s">
        <v>9</v>
      </c>
      <c r="H21" s="7" t="s">
        <v>50</v>
      </c>
      <c r="I21" s="7">
        <v>12210</v>
      </c>
      <c r="J21" s="8" t="str">
        <f t="shared" si="0"/>
        <v>Overweight</v>
      </c>
      <c r="K21" s="8" t="str">
        <f t="shared" si="1"/>
        <v>JR</v>
      </c>
    </row>
    <row r="22" spans="1:11" x14ac:dyDescent="0.3">
      <c r="A22" s="16">
        <v>21</v>
      </c>
      <c r="B22" s="13" t="s">
        <v>51</v>
      </c>
      <c r="C22" s="7">
        <v>44</v>
      </c>
      <c r="D22" s="7" t="s">
        <v>8</v>
      </c>
      <c r="E22" s="7">
        <v>29.6</v>
      </c>
      <c r="F22" s="7">
        <v>3</v>
      </c>
      <c r="G22" s="7" t="s">
        <v>15</v>
      </c>
      <c r="H22" s="7" t="s">
        <v>52</v>
      </c>
      <c r="I22" s="7">
        <v>28980</v>
      </c>
      <c r="J22" s="8" t="str">
        <f t="shared" si="0"/>
        <v>Overweight</v>
      </c>
      <c r="K22" s="8" t="str">
        <f t="shared" si="1"/>
        <v>JR</v>
      </c>
    </row>
    <row r="23" spans="1:11" x14ac:dyDescent="0.3">
      <c r="A23" s="16">
        <v>22</v>
      </c>
      <c r="B23" s="13" t="s">
        <v>53</v>
      </c>
      <c r="C23" s="7">
        <v>35</v>
      </c>
      <c r="D23" s="7" t="s">
        <v>12</v>
      </c>
      <c r="E23" s="7">
        <v>28.8</v>
      </c>
      <c r="F23" s="7">
        <v>0</v>
      </c>
      <c r="G23" s="7" t="s">
        <v>9</v>
      </c>
      <c r="H23" s="7" t="s">
        <v>54</v>
      </c>
      <c r="I23" s="7">
        <v>12210</v>
      </c>
      <c r="J23" s="8" t="str">
        <f t="shared" si="0"/>
        <v>Overweight</v>
      </c>
      <c r="K23" s="8" t="str">
        <f t="shared" si="1"/>
        <v>JR</v>
      </c>
    </row>
    <row r="24" spans="1:11" x14ac:dyDescent="0.3">
      <c r="A24" s="16">
        <v>23</v>
      </c>
      <c r="B24" s="13" t="s">
        <v>55</v>
      </c>
      <c r="C24" s="7">
        <v>49</v>
      </c>
      <c r="D24" s="7" t="s">
        <v>8</v>
      </c>
      <c r="E24" s="7">
        <v>33.799999999999997</v>
      </c>
      <c r="F24" s="7">
        <v>2</v>
      </c>
      <c r="G24" s="7" t="s">
        <v>9</v>
      </c>
      <c r="H24" s="7" t="s">
        <v>56</v>
      </c>
      <c r="I24" s="7">
        <v>25760</v>
      </c>
      <c r="J24" s="8" t="str">
        <f t="shared" si="0"/>
        <v>Obese</v>
      </c>
      <c r="K24" s="8" t="str">
        <f t="shared" si="1"/>
        <v>JR</v>
      </c>
    </row>
    <row r="25" spans="1:11" x14ac:dyDescent="0.3">
      <c r="A25" s="16">
        <v>24</v>
      </c>
      <c r="B25" s="13" t="s">
        <v>57</v>
      </c>
      <c r="C25" s="7">
        <v>34</v>
      </c>
      <c r="D25" s="7" t="s">
        <v>12</v>
      </c>
      <c r="E25" s="7">
        <v>25.9</v>
      </c>
      <c r="F25" s="7">
        <v>1</v>
      </c>
      <c r="G25" s="7" t="s">
        <v>9</v>
      </c>
      <c r="H25" s="7" t="s">
        <v>58</v>
      </c>
      <c r="I25" s="7">
        <v>9600</v>
      </c>
      <c r="J25" s="8" t="str">
        <f t="shared" si="0"/>
        <v>Overweight</v>
      </c>
      <c r="K25" s="8" t="str">
        <f t="shared" si="1"/>
        <v>JR</v>
      </c>
    </row>
    <row r="26" spans="1:11" x14ac:dyDescent="0.3">
      <c r="A26" s="16">
        <v>25</v>
      </c>
      <c r="B26" s="13" t="s">
        <v>59</v>
      </c>
      <c r="C26" s="7">
        <v>38</v>
      </c>
      <c r="D26" s="7" t="s">
        <v>8</v>
      </c>
      <c r="E26" s="7">
        <v>26.3</v>
      </c>
      <c r="F26" s="7">
        <v>2</v>
      </c>
      <c r="G26" s="7" t="s">
        <v>15</v>
      </c>
      <c r="H26" s="7" t="s">
        <v>60</v>
      </c>
      <c r="I26" s="7">
        <v>30550</v>
      </c>
      <c r="J26" s="8" t="str">
        <f t="shared" si="0"/>
        <v>Overweight</v>
      </c>
      <c r="K26" s="8" t="str">
        <f t="shared" si="1"/>
        <v>JR</v>
      </c>
    </row>
    <row r="27" spans="1:11" x14ac:dyDescent="0.3">
      <c r="A27" s="16">
        <v>26</v>
      </c>
      <c r="B27" s="13" t="s">
        <v>61</v>
      </c>
      <c r="C27" s="7">
        <v>27</v>
      </c>
      <c r="D27" s="7" t="s">
        <v>12</v>
      </c>
      <c r="E27" s="7">
        <v>24.5</v>
      </c>
      <c r="F27" s="7">
        <v>0</v>
      </c>
      <c r="G27" s="7" t="s">
        <v>9</v>
      </c>
      <c r="H27" s="7" t="s">
        <v>62</v>
      </c>
      <c r="I27" s="7">
        <v>13050</v>
      </c>
      <c r="J27" s="8" t="str">
        <f t="shared" si="0"/>
        <v>Normal</v>
      </c>
      <c r="K27" s="8" t="str">
        <f t="shared" si="1"/>
        <v>Adult</v>
      </c>
    </row>
    <row r="28" spans="1:11" x14ac:dyDescent="0.3">
      <c r="A28" s="16">
        <v>27</v>
      </c>
      <c r="B28" s="13" t="s">
        <v>63</v>
      </c>
      <c r="C28" s="7">
        <v>52</v>
      </c>
      <c r="D28" s="7" t="s">
        <v>8</v>
      </c>
      <c r="E28" s="7">
        <v>35.1</v>
      </c>
      <c r="F28" s="7">
        <v>3</v>
      </c>
      <c r="G28" s="7" t="s">
        <v>15</v>
      </c>
      <c r="H28" s="7" t="s">
        <v>64</v>
      </c>
      <c r="I28" s="7">
        <v>23760</v>
      </c>
      <c r="J28" s="8" t="str">
        <f t="shared" si="0"/>
        <v>Obese</v>
      </c>
      <c r="K28" s="8" t="str">
        <f t="shared" si="1"/>
        <v>SR</v>
      </c>
    </row>
    <row r="29" spans="1:11" x14ac:dyDescent="0.3">
      <c r="A29" s="16">
        <v>28</v>
      </c>
      <c r="B29" s="13" t="s">
        <v>65</v>
      </c>
      <c r="C29" s="7">
        <v>33</v>
      </c>
      <c r="D29" s="7" t="s">
        <v>12</v>
      </c>
      <c r="E29" s="7">
        <v>27.6</v>
      </c>
      <c r="F29" s="7">
        <v>1</v>
      </c>
      <c r="G29" s="7" t="s">
        <v>9</v>
      </c>
      <c r="H29" s="7" t="s">
        <v>66</v>
      </c>
      <c r="I29" s="7">
        <v>13940</v>
      </c>
      <c r="J29" s="8" t="str">
        <f t="shared" si="0"/>
        <v>Overweight</v>
      </c>
      <c r="K29" s="8" t="str">
        <f t="shared" si="1"/>
        <v>JR</v>
      </c>
    </row>
    <row r="30" spans="1:11" x14ac:dyDescent="0.3">
      <c r="A30" s="16">
        <v>29</v>
      </c>
      <c r="B30" s="13" t="s">
        <v>67</v>
      </c>
      <c r="C30" s="7">
        <v>50</v>
      </c>
      <c r="D30" s="7" t="s">
        <v>8</v>
      </c>
      <c r="E30" s="7">
        <v>31.8</v>
      </c>
      <c r="F30" s="7">
        <v>2</v>
      </c>
      <c r="G30" s="7" t="s">
        <v>9</v>
      </c>
      <c r="H30" s="7" t="s">
        <v>68</v>
      </c>
      <c r="I30" s="7">
        <v>21830</v>
      </c>
      <c r="J30" s="8" t="str">
        <f t="shared" si="0"/>
        <v>Obese</v>
      </c>
      <c r="K30" s="8" t="str">
        <f t="shared" si="1"/>
        <v>SR</v>
      </c>
    </row>
    <row r="31" spans="1:11" x14ac:dyDescent="0.3">
      <c r="A31" s="16">
        <v>30</v>
      </c>
      <c r="B31" s="13" t="s">
        <v>69</v>
      </c>
      <c r="C31" s="7">
        <v>39</v>
      </c>
      <c r="D31" s="7" t="s">
        <v>12</v>
      </c>
      <c r="E31" s="7">
        <v>29.2</v>
      </c>
      <c r="F31" s="7">
        <v>0</v>
      </c>
      <c r="G31" s="7" t="s">
        <v>9</v>
      </c>
      <c r="H31" s="7" t="s">
        <v>70</v>
      </c>
      <c r="I31" s="7">
        <v>19270</v>
      </c>
      <c r="J31" s="8" t="str">
        <f t="shared" si="0"/>
        <v>Overweight</v>
      </c>
      <c r="K31" s="8" t="str">
        <f t="shared" si="1"/>
        <v>JR</v>
      </c>
    </row>
    <row r="32" spans="1:11" x14ac:dyDescent="0.3">
      <c r="A32" s="16">
        <v>31</v>
      </c>
      <c r="B32" s="13" t="s">
        <v>71</v>
      </c>
      <c r="C32" s="7">
        <v>47</v>
      </c>
      <c r="D32" s="7" t="s">
        <v>8</v>
      </c>
      <c r="E32" s="7">
        <v>32.5</v>
      </c>
      <c r="F32" s="7">
        <v>3</v>
      </c>
      <c r="G32" s="7" t="s">
        <v>15</v>
      </c>
      <c r="H32" s="7" t="s">
        <v>72</v>
      </c>
      <c r="I32" s="7">
        <v>22400</v>
      </c>
      <c r="J32" s="8" t="str">
        <f t="shared" si="0"/>
        <v>Obese</v>
      </c>
      <c r="K32" s="8" t="str">
        <f t="shared" si="1"/>
        <v>JR</v>
      </c>
    </row>
    <row r="33" spans="1:11" x14ac:dyDescent="0.3">
      <c r="A33" s="16">
        <v>32</v>
      </c>
      <c r="B33" s="13" t="s">
        <v>73</v>
      </c>
      <c r="C33" s="7">
        <v>31</v>
      </c>
      <c r="D33" s="7" t="s">
        <v>12</v>
      </c>
      <c r="E33" s="7">
        <v>26.5</v>
      </c>
      <c r="F33" s="7">
        <v>1</v>
      </c>
      <c r="G33" s="7" t="s">
        <v>9</v>
      </c>
      <c r="H33" s="7" t="s">
        <v>74</v>
      </c>
      <c r="I33" s="7">
        <v>16100</v>
      </c>
      <c r="J33" s="8" t="str">
        <f t="shared" si="0"/>
        <v>Overweight</v>
      </c>
      <c r="K33" s="8" t="str">
        <f t="shared" si="1"/>
        <v>JR</v>
      </c>
    </row>
    <row r="34" spans="1:11" x14ac:dyDescent="0.3">
      <c r="A34" s="16">
        <v>33</v>
      </c>
      <c r="B34" s="13" t="s">
        <v>75</v>
      </c>
      <c r="C34" s="7">
        <v>45</v>
      </c>
      <c r="D34" s="7" t="s">
        <v>8</v>
      </c>
      <c r="E34" s="7">
        <v>30.3</v>
      </c>
      <c r="F34" s="7">
        <v>2</v>
      </c>
      <c r="G34" s="7" t="s">
        <v>9</v>
      </c>
      <c r="H34" s="7" t="s">
        <v>76</v>
      </c>
      <c r="I34" s="7">
        <v>25080</v>
      </c>
      <c r="J34" s="8" t="str">
        <f t="shared" si="0"/>
        <v>Obese</v>
      </c>
      <c r="K34" s="8" t="str">
        <f t="shared" si="1"/>
        <v>JR</v>
      </c>
    </row>
    <row r="35" spans="1:11" x14ac:dyDescent="0.3">
      <c r="A35" s="16">
        <v>34</v>
      </c>
      <c r="B35" s="13" t="s">
        <v>77</v>
      </c>
      <c r="C35" s="7">
        <v>37</v>
      </c>
      <c r="D35" s="7" t="s">
        <v>12</v>
      </c>
      <c r="E35" s="7">
        <v>28</v>
      </c>
      <c r="F35" s="7">
        <v>0</v>
      </c>
      <c r="G35" s="7" t="s">
        <v>9</v>
      </c>
      <c r="H35" s="7" t="s">
        <v>78</v>
      </c>
      <c r="I35" s="7">
        <v>14430</v>
      </c>
      <c r="J35" s="8" t="str">
        <f t="shared" si="0"/>
        <v>Overweight</v>
      </c>
      <c r="K35" s="8" t="str">
        <f t="shared" si="1"/>
        <v>JR</v>
      </c>
    </row>
    <row r="36" spans="1:11" x14ac:dyDescent="0.3">
      <c r="A36" s="16">
        <v>35</v>
      </c>
      <c r="B36" s="13" t="s">
        <v>79</v>
      </c>
      <c r="C36" s="7">
        <v>48</v>
      </c>
      <c r="D36" s="7" t="s">
        <v>8</v>
      </c>
      <c r="E36" s="7">
        <v>33.5</v>
      </c>
      <c r="F36" s="7">
        <v>3</v>
      </c>
      <c r="G36" s="7" t="s">
        <v>15</v>
      </c>
      <c r="H36" s="7" t="s">
        <v>80</v>
      </c>
      <c r="I36" s="7">
        <v>30530</v>
      </c>
      <c r="J36" s="8" t="str">
        <f t="shared" si="0"/>
        <v>Obese</v>
      </c>
      <c r="K36" s="8" t="str">
        <f t="shared" si="1"/>
        <v>JR</v>
      </c>
    </row>
    <row r="37" spans="1:11" x14ac:dyDescent="0.3">
      <c r="A37" s="16">
        <v>36</v>
      </c>
      <c r="B37" s="13" t="s">
        <v>81</v>
      </c>
      <c r="C37" s="7">
        <v>29</v>
      </c>
      <c r="D37" s="7" t="s">
        <v>12</v>
      </c>
      <c r="E37" s="7">
        <v>25.3</v>
      </c>
      <c r="F37" s="7">
        <v>1</v>
      </c>
      <c r="G37" s="7" t="s">
        <v>9</v>
      </c>
      <c r="H37" s="7" t="s">
        <v>82</v>
      </c>
      <c r="I37" s="7">
        <v>9900</v>
      </c>
      <c r="J37" s="8" t="str">
        <f t="shared" si="0"/>
        <v>Overweight</v>
      </c>
      <c r="K37" s="8" t="str">
        <f t="shared" si="1"/>
        <v>Adult</v>
      </c>
    </row>
    <row r="38" spans="1:11" x14ac:dyDescent="0.3">
      <c r="A38" s="16">
        <v>37</v>
      </c>
      <c r="B38" s="13" t="s">
        <v>83</v>
      </c>
      <c r="C38" s="7">
        <v>51</v>
      </c>
      <c r="D38" s="7" t="s">
        <v>8</v>
      </c>
      <c r="E38" s="7">
        <v>34.700000000000003</v>
      </c>
      <c r="F38" s="7">
        <v>2</v>
      </c>
      <c r="G38" s="7" t="s">
        <v>9</v>
      </c>
      <c r="H38" s="7" t="s">
        <v>84</v>
      </c>
      <c r="I38" s="7">
        <v>22200</v>
      </c>
      <c r="J38" s="8" t="str">
        <f t="shared" si="0"/>
        <v>Obese</v>
      </c>
      <c r="K38" s="8" t="str">
        <f t="shared" si="1"/>
        <v>SR</v>
      </c>
    </row>
    <row r="39" spans="1:11" x14ac:dyDescent="0.3">
      <c r="A39" s="16">
        <v>38</v>
      </c>
      <c r="B39" s="13" t="s">
        <v>85</v>
      </c>
      <c r="C39" s="7">
        <v>32</v>
      </c>
      <c r="D39" s="7" t="s">
        <v>12</v>
      </c>
      <c r="E39" s="7">
        <v>27.2</v>
      </c>
      <c r="F39" s="7">
        <v>0</v>
      </c>
      <c r="G39" s="7" t="s">
        <v>9</v>
      </c>
      <c r="H39" s="7" t="s">
        <v>86</v>
      </c>
      <c r="I39" s="7">
        <v>15480</v>
      </c>
      <c r="J39" s="8" t="str">
        <f t="shared" si="0"/>
        <v>Overweight</v>
      </c>
      <c r="K39" s="8" t="str">
        <f t="shared" si="1"/>
        <v>JR</v>
      </c>
    </row>
    <row r="40" spans="1:11" x14ac:dyDescent="0.3">
      <c r="A40" s="16">
        <v>39</v>
      </c>
      <c r="B40" s="13" t="s">
        <v>87</v>
      </c>
      <c r="C40" s="7">
        <v>46</v>
      </c>
      <c r="D40" s="7" t="s">
        <v>8</v>
      </c>
      <c r="E40" s="7">
        <v>31</v>
      </c>
      <c r="F40" s="7">
        <v>3</v>
      </c>
      <c r="G40" s="7" t="s">
        <v>15</v>
      </c>
      <c r="H40" s="7" t="s">
        <v>88</v>
      </c>
      <c r="I40" s="7">
        <v>24480</v>
      </c>
      <c r="J40" s="8" t="str">
        <f t="shared" si="0"/>
        <v>Obese</v>
      </c>
      <c r="K40" s="8" t="str">
        <f t="shared" si="1"/>
        <v>JR</v>
      </c>
    </row>
    <row r="41" spans="1:11" x14ac:dyDescent="0.3">
      <c r="A41" s="16">
        <v>40</v>
      </c>
      <c r="B41" s="13" t="s">
        <v>89</v>
      </c>
      <c r="C41" s="7">
        <v>36</v>
      </c>
      <c r="D41" s="7" t="s">
        <v>12</v>
      </c>
      <c r="E41" s="7">
        <v>29.1</v>
      </c>
      <c r="F41" s="7">
        <v>1</v>
      </c>
      <c r="G41" s="7" t="s">
        <v>9</v>
      </c>
      <c r="H41" s="7" t="s">
        <v>90</v>
      </c>
      <c r="I41" s="7">
        <v>12000</v>
      </c>
      <c r="J41" s="8" t="str">
        <f t="shared" si="0"/>
        <v>Overweight</v>
      </c>
      <c r="K41" s="8" t="str">
        <f t="shared" si="1"/>
        <v>JR</v>
      </c>
    </row>
    <row r="42" spans="1:11" x14ac:dyDescent="0.3">
      <c r="A42" s="16">
        <v>41</v>
      </c>
      <c r="B42" s="13" t="s">
        <v>91</v>
      </c>
      <c r="C42" s="7">
        <v>49</v>
      </c>
      <c r="D42" s="7" t="s">
        <v>8</v>
      </c>
      <c r="E42" s="7">
        <v>32.799999999999997</v>
      </c>
      <c r="F42" s="7">
        <v>2</v>
      </c>
      <c r="G42" s="7" t="s">
        <v>9</v>
      </c>
      <c r="H42" s="7" t="s">
        <v>92</v>
      </c>
      <c r="I42" s="7">
        <v>28060</v>
      </c>
      <c r="J42" s="8" t="str">
        <f t="shared" si="0"/>
        <v>Obese</v>
      </c>
      <c r="K42" s="8" t="str">
        <f t="shared" si="1"/>
        <v>JR</v>
      </c>
    </row>
    <row r="43" spans="1:11" x14ac:dyDescent="0.3">
      <c r="A43" s="16">
        <v>42</v>
      </c>
      <c r="B43" s="13" t="s">
        <v>93</v>
      </c>
      <c r="C43" s="7">
        <v>38</v>
      </c>
      <c r="D43" s="7" t="s">
        <v>12</v>
      </c>
      <c r="E43" s="7">
        <v>27.8</v>
      </c>
      <c r="F43" s="7">
        <v>0</v>
      </c>
      <c r="G43" s="7" t="s">
        <v>9</v>
      </c>
      <c r="H43" s="7" t="s">
        <v>94</v>
      </c>
      <c r="I43" s="7">
        <v>14060</v>
      </c>
      <c r="J43" s="8" t="str">
        <f t="shared" si="0"/>
        <v>Overweight</v>
      </c>
      <c r="K43" s="8" t="str">
        <f t="shared" si="1"/>
        <v>JR</v>
      </c>
    </row>
    <row r="44" spans="1:11" x14ac:dyDescent="0.3">
      <c r="A44" s="16">
        <v>43</v>
      </c>
      <c r="B44" s="13" t="s">
        <v>95</v>
      </c>
      <c r="C44" s="7">
        <v>53</v>
      </c>
      <c r="D44" s="7" t="s">
        <v>8</v>
      </c>
      <c r="E44" s="7">
        <v>35.299999999999997</v>
      </c>
      <c r="F44" s="7">
        <v>3</v>
      </c>
      <c r="G44" s="7" t="s">
        <v>15</v>
      </c>
      <c r="H44" s="7" t="s">
        <v>96</v>
      </c>
      <c r="I44" s="7">
        <v>32120</v>
      </c>
      <c r="J44" s="8" t="str">
        <f t="shared" si="0"/>
        <v>Obese</v>
      </c>
      <c r="K44" s="8" t="str">
        <f t="shared" si="1"/>
        <v>SR</v>
      </c>
    </row>
    <row r="45" spans="1:11" x14ac:dyDescent="0.3">
      <c r="A45" s="16">
        <v>44</v>
      </c>
      <c r="B45" s="13" t="s">
        <v>97</v>
      </c>
      <c r="C45" s="7">
        <v>34</v>
      </c>
      <c r="D45" s="7" t="s">
        <v>12</v>
      </c>
      <c r="E45" s="7">
        <v>26.4</v>
      </c>
      <c r="F45" s="7">
        <v>1</v>
      </c>
      <c r="G45" s="7" t="s">
        <v>9</v>
      </c>
      <c r="H45" s="7" t="s">
        <v>98</v>
      </c>
      <c r="I45" s="7">
        <v>15640</v>
      </c>
      <c r="J45" s="8" t="str">
        <f t="shared" si="0"/>
        <v>Overweight</v>
      </c>
      <c r="K45" s="8" t="str">
        <f t="shared" si="1"/>
        <v>JR</v>
      </c>
    </row>
    <row r="46" spans="1:11" x14ac:dyDescent="0.3">
      <c r="A46" s="16">
        <v>45</v>
      </c>
      <c r="B46" s="13" t="s">
        <v>99</v>
      </c>
      <c r="C46" s="7">
        <v>48</v>
      </c>
      <c r="D46" s="7" t="s">
        <v>8</v>
      </c>
      <c r="E46" s="7">
        <v>31.7</v>
      </c>
      <c r="F46" s="7">
        <v>2</v>
      </c>
      <c r="G46" s="7" t="s">
        <v>9</v>
      </c>
      <c r="H46" s="7" t="s">
        <v>100</v>
      </c>
      <c r="I46" s="7">
        <v>20880</v>
      </c>
      <c r="J46" s="8" t="str">
        <f t="shared" si="0"/>
        <v>Obese</v>
      </c>
      <c r="K46" s="8" t="str">
        <f t="shared" si="1"/>
        <v>JR</v>
      </c>
    </row>
    <row r="47" spans="1:11" x14ac:dyDescent="0.3">
      <c r="A47" s="16">
        <v>46</v>
      </c>
      <c r="B47" s="13" t="s">
        <v>101</v>
      </c>
      <c r="C47" s="7">
        <v>30</v>
      </c>
      <c r="D47" s="7" t="s">
        <v>12</v>
      </c>
      <c r="E47" s="7">
        <v>25.8</v>
      </c>
      <c r="F47" s="7">
        <v>0</v>
      </c>
      <c r="G47" s="7" t="s">
        <v>9</v>
      </c>
      <c r="H47" s="7" t="s">
        <v>102</v>
      </c>
      <c r="I47" s="7">
        <v>11840</v>
      </c>
      <c r="J47" s="8" t="str">
        <f t="shared" si="0"/>
        <v>Overweight</v>
      </c>
      <c r="K47" s="8" t="str">
        <f t="shared" si="1"/>
        <v>JR</v>
      </c>
    </row>
    <row r="48" spans="1:11" x14ac:dyDescent="0.3">
      <c r="A48"/>
      <c r="B48"/>
      <c r="C48"/>
      <c r="D48"/>
      <c r="E48"/>
      <c r="F48"/>
      <c r="G48"/>
      <c r="H48"/>
      <c r="I48"/>
      <c r="J48"/>
      <c r="K48"/>
    </row>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A125-FEC3-41A9-8A3F-59F6368157DC}">
  <sheetPr>
    <tabColor theme="1" tint="4.9989318521683403E-2"/>
  </sheetPr>
  <dimension ref="A3:B14"/>
  <sheetViews>
    <sheetView workbookViewId="0">
      <selection activeCell="A3" sqref="A3"/>
    </sheetView>
  </sheetViews>
  <sheetFormatPr defaultRowHeight="14.4" x14ac:dyDescent="0.3"/>
  <cols>
    <col min="1" max="1" width="12.44140625" bestFit="1" customWidth="1"/>
    <col min="2" max="2" width="15.21875" bestFit="1" customWidth="1"/>
  </cols>
  <sheetData>
    <row r="3" spans="1:2" x14ac:dyDescent="0.3">
      <c r="A3" s="10" t="s">
        <v>108</v>
      </c>
      <c r="B3" t="s">
        <v>111</v>
      </c>
    </row>
    <row r="4" spans="1:2" x14ac:dyDescent="0.3">
      <c r="A4" s="11" t="s">
        <v>98</v>
      </c>
      <c r="B4" s="38">
        <v>44</v>
      </c>
    </row>
    <row r="5" spans="1:2" x14ac:dyDescent="0.3">
      <c r="A5" s="11" t="s">
        <v>84</v>
      </c>
      <c r="B5" s="38">
        <v>37</v>
      </c>
    </row>
    <row r="6" spans="1:2" x14ac:dyDescent="0.3">
      <c r="A6" s="11" t="s">
        <v>88</v>
      </c>
      <c r="B6" s="38">
        <v>39</v>
      </c>
    </row>
    <row r="7" spans="1:2" x14ac:dyDescent="0.3">
      <c r="A7" s="11" t="s">
        <v>86</v>
      </c>
      <c r="B7" s="38">
        <v>38</v>
      </c>
    </row>
    <row r="8" spans="1:2" x14ac:dyDescent="0.3">
      <c r="A8" s="11" t="s">
        <v>102</v>
      </c>
      <c r="B8" s="38">
        <v>46</v>
      </c>
    </row>
    <row r="9" spans="1:2" x14ac:dyDescent="0.3">
      <c r="A9" s="11" t="s">
        <v>92</v>
      </c>
      <c r="B9" s="38">
        <v>41</v>
      </c>
    </row>
    <row r="10" spans="1:2" x14ac:dyDescent="0.3">
      <c r="A10" s="11" t="s">
        <v>96</v>
      </c>
      <c r="B10" s="38">
        <v>43</v>
      </c>
    </row>
    <row r="11" spans="1:2" x14ac:dyDescent="0.3">
      <c r="A11" s="11" t="s">
        <v>94</v>
      </c>
      <c r="B11" s="38">
        <v>42</v>
      </c>
    </row>
    <row r="12" spans="1:2" x14ac:dyDescent="0.3">
      <c r="A12" s="11" t="s">
        <v>90</v>
      </c>
      <c r="B12" s="38">
        <v>40</v>
      </c>
    </row>
    <row r="13" spans="1:2" x14ac:dyDescent="0.3">
      <c r="A13" s="11" t="s">
        <v>100</v>
      </c>
      <c r="B13" s="38">
        <v>45</v>
      </c>
    </row>
    <row r="14" spans="1:2" x14ac:dyDescent="0.3">
      <c r="A14" s="11" t="s">
        <v>109</v>
      </c>
      <c r="B14" s="38">
        <v>415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3B85-42B2-428F-93F6-01CA9FA74261}">
  <sheetPr>
    <tabColor theme="1" tint="4.9989318521683403E-2"/>
  </sheetPr>
  <dimension ref="A3:E7"/>
  <sheetViews>
    <sheetView topLeftCell="B1" workbookViewId="0">
      <selection activeCell="K18" sqref="K18"/>
    </sheetView>
  </sheetViews>
  <sheetFormatPr defaultRowHeight="14.4" x14ac:dyDescent="0.3"/>
  <cols>
    <col min="1" max="1" width="16.33203125" bestFit="1" customWidth="1"/>
    <col min="2" max="2" width="15.5546875" bestFit="1" customWidth="1"/>
    <col min="3" max="3" width="6.33203125" bestFit="1" customWidth="1"/>
    <col min="4" max="4" width="10.33203125" bestFit="1" customWidth="1"/>
    <col min="5" max="5" width="10.5546875" bestFit="1" customWidth="1"/>
    <col min="6" max="6" width="16.6640625" bestFit="1" customWidth="1"/>
    <col min="7" max="7" width="15.21875" bestFit="1" customWidth="1"/>
    <col min="8" max="8" width="21.33203125" bestFit="1" customWidth="1"/>
    <col min="9" max="9" width="19.77734375" bestFit="1" customWidth="1"/>
    <col min="10" max="10" width="5" bestFit="1" customWidth="1"/>
    <col min="11" max="11" width="3" bestFit="1" customWidth="1"/>
    <col min="12" max="20" width="5" bestFit="1" customWidth="1"/>
    <col min="21" max="21" width="3" bestFit="1" customWidth="1"/>
    <col min="22" max="32" width="5" bestFit="1" customWidth="1"/>
    <col min="33" max="33" width="3" bestFit="1" customWidth="1"/>
    <col min="34" max="40" width="5" bestFit="1" customWidth="1"/>
    <col min="41" max="41" width="3" bestFit="1" customWidth="1"/>
    <col min="42" max="47" width="5" bestFit="1" customWidth="1"/>
    <col min="48" max="48" width="10.5546875" bestFit="1" customWidth="1"/>
  </cols>
  <sheetData>
    <row r="3" spans="1:5" x14ac:dyDescent="0.3">
      <c r="A3" s="10" t="s">
        <v>117</v>
      </c>
      <c r="B3" s="10" t="s">
        <v>112</v>
      </c>
    </row>
    <row r="4" spans="1:5" x14ac:dyDescent="0.3">
      <c r="A4" s="10" t="s">
        <v>108</v>
      </c>
      <c r="B4" t="s">
        <v>113</v>
      </c>
      <c r="C4" t="s">
        <v>114</v>
      </c>
      <c r="D4" t="s">
        <v>115</v>
      </c>
      <c r="E4" t="s">
        <v>109</v>
      </c>
    </row>
    <row r="5" spans="1:5" x14ac:dyDescent="0.3">
      <c r="A5" s="11" t="s">
        <v>12</v>
      </c>
      <c r="B5">
        <v>4</v>
      </c>
      <c r="C5">
        <v>1</v>
      </c>
      <c r="D5">
        <v>18</v>
      </c>
      <c r="E5">
        <v>23</v>
      </c>
    </row>
    <row r="6" spans="1:5" x14ac:dyDescent="0.3">
      <c r="A6" s="11" t="s">
        <v>8</v>
      </c>
      <c r="C6">
        <v>16</v>
      </c>
      <c r="D6">
        <v>7</v>
      </c>
      <c r="E6">
        <v>23</v>
      </c>
    </row>
    <row r="7" spans="1:5" x14ac:dyDescent="0.3">
      <c r="A7" s="11" t="s">
        <v>109</v>
      </c>
      <c r="B7">
        <v>4</v>
      </c>
      <c r="C7">
        <v>17</v>
      </c>
      <c r="D7">
        <v>25</v>
      </c>
      <c r="E7">
        <v>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EC9D-6850-48A9-B359-5B4A8F881C8D}">
  <sheetPr>
    <tabColor theme="1" tint="4.9989318521683403E-2"/>
  </sheetPr>
  <dimension ref="A3:D7"/>
  <sheetViews>
    <sheetView topLeftCell="A4" zoomScale="121" workbookViewId="0">
      <selection activeCell="G28" sqref="G28"/>
    </sheetView>
  </sheetViews>
  <sheetFormatPr defaultRowHeight="14.4" x14ac:dyDescent="0.3"/>
  <cols>
    <col min="1" max="1" width="17" bestFit="1" customWidth="1"/>
    <col min="2" max="2" width="15.5546875" bestFit="1" customWidth="1"/>
    <col min="3" max="3" width="7.44140625" bestFit="1" customWidth="1"/>
    <col min="4" max="4" width="10.5546875" bestFit="1" customWidth="1"/>
    <col min="5" max="5" width="7.44140625" bestFit="1" customWidth="1"/>
    <col min="6" max="6" width="10.109375" bestFit="1" customWidth="1"/>
    <col min="7" max="7" width="11.44140625" bestFit="1" customWidth="1"/>
    <col min="8" max="8" width="7.44140625" bestFit="1" customWidth="1"/>
    <col min="9" max="9" width="8.44140625" bestFit="1" customWidth="1"/>
    <col min="10" max="10" width="10.5546875" bestFit="1" customWidth="1"/>
  </cols>
  <sheetData>
    <row r="3" spans="1:4" x14ac:dyDescent="0.3">
      <c r="A3" s="10" t="s">
        <v>116</v>
      </c>
      <c r="B3" s="10" t="s">
        <v>112</v>
      </c>
    </row>
    <row r="4" spans="1:4" x14ac:dyDescent="0.3">
      <c r="A4" s="10" t="s">
        <v>108</v>
      </c>
      <c r="B4" t="s">
        <v>9</v>
      </c>
      <c r="C4" t="s">
        <v>15</v>
      </c>
      <c r="D4" t="s">
        <v>109</v>
      </c>
    </row>
    <row r="5" spans="1:4" x14ac:dyDescent="0.3">
      <c r="A5" s="11" t="s">
        <v>12</v>
      </c>
      <c r="B5">
        <v>22</v>
      </c>
      <c r="C5">
        <v>1</v>
      </c>
      <c r="D5">
        <v>23</v>
      </c>
    </row>
    <row r="6" spans="1:4" x14ac:dyDescent="0.3">
      <c r="A6" s="11" t="s">
        <v>8</v>
      </c>
      <c r="B6">
        <v>13</v>
      </c>
      <c r="C6">
        <v>10</v>
      </c>
      <c r="D6">
        <v>23</v>
      </c>
    </row>
    <row r="7" spans="1:4" x14ac:dyDescent="0.3">
      <c r="A7" s="11" t="s">
        <v>109</v>
      </c>
      <c r="B7">
        <v>35</v>
      </c>
      <c r="C7">
        <v>11</v>
      </c>
      <c r="D7">
        <v>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99E3E-94B5-43CD-8441-F82467852048}">
  <sheetPr>
    <tabColor theme="1" tint="4.9989318521683403E-2"/>
  </sheetPr>
  <dimension ref="A3:B8"/>
  <sheetViews>
    <sheetView workbookViewId="0">
      <selection activeCell="M12" sqref="M12"/>
    </sheetView>
  </sheetViews>
  <sheetFormatPr defaultRowHeight="14.4" x14ac:dyDescent="0.3"/>
  <cols>
    <col min="1" max="1" width="12.44140625" bestFit="1" customWidth="1"/>
    <col min="2" max="2" width="16.5546875" bestFit="1" customWidth="1"/>
    <col min="3" max="4" width="12" bestFit="1" customWidth="1"/>
  </cols>
  <sheetData>
    <row r="3" spans="1:2" x14ac:dyDescent="0.3">
      <c r="A3" s="10" t="s">
        <v>108</v>
      </c>
      <c r="B3" t="s">
        <v>118</v>
      </c>
    </row>
    <row r="4" spans="1:2" x14ac:dyDescent="0.3">
      <c r="A4" s="11">
        <v>0</v>
      </c>
      <c r="B4">
        <v>15120.833333333334</v>
      </c>
    </row>
    <row r="5" spans="1:2" x14ac:dyDescent="0.3">
      <c r="A5" s="11">
        <v>1</v>
      </c>
      <c r="B5">
        <v>12050</v>
      </c>
    </row>
    <row r="6" spans="1:2" x14ac:dyDescent="0.3">
      <c r="A6" s="11">
        <v>2</v>
      </c>
      <c r="B6">
        <v>21805.384615384617</v>
      </c>
    </row>
    <row r="7" spans="1:2" x14ac:dyDescent="0.3">
      <c r="A7" s="11">
        <v>3</v>
      </c>
      <c r="B7">
        <v>24177</v>
      </c>
    </row>
    <row r="8" spans="1:2" x14ac:dyDescent="0.3">
      <c r="A8" s="11" t="s">
        <v>109</v>
      </c>
      <c r="B8">
        <v>18244.347826086956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ACFE-0BCC-4BFE-8CA9-1D3503008CD6}">
  <sheetPr>
    <tabColor theme="1" tint="4.9989318521683403E-2"/>
  </sheetPr>
  <dimension ref="A3:C24"/>
  <sheetViews>
    <sheetView workbookViewId="0">
      <selection activeCell="I30" sqref="I30"/>
    </sheetView>
  </sheetViews>
  <sheetFormatPr defaultRowHeight="14.4" x14ac:dyDescent="0.3"/>
  <cols>
    <col min="1" max="1" width="12.44140625" bestFit="1" customWidth="1"/>
    <col min="2" max="2" width="12.88671875" bestFit="1" customWidth="1"/>
    <col min="3" max="3" width="12.77734375" bestFit="1" customWidth="1"/>
    <col min="4" max="10" width="5" bestFit="1" customWidth="1"/>
    <col min="11" max="11" width="3" bestFit="1" customWidth="1"/>
    <col min="12" max="20" width="5" bestFit="1" customWidth="1"/>
    <col min="21" max="21" width="3" bestFit="1" customWidth="1"/>
    <col min="22" max="32" width="5" bestFit="1" customWidth="1"/>
    <col min="33" max="33" width="3" bestFit="1" customWidth="1"/>
    <col min="34" max="40" width="5" bestFit="1" customWidth="1"/>
    <col min="41" max="41" width="3" bestFit="1" customWidth="1"/>
    <col min="42" max="47" width="5" bestFit="1" customWidth="1"/>
    <col min="48" max="48" width="10.5546875" bestFit="1" customWidth="1"/>
  </cols>
  <sheetData>
    <row r="3" spans="1:3" x14ac:dyDescent="0.3">
      <c r="A3" s="10" t="s">
        <v>108</v>
      </c>
      <c r="B3" t="s">
        <v>119</v>
      </c>
      <c r="C3" t="s">
        <v>120</v>
      </c>
    </row>
    <row r="4" spans="1:3" x14ac:dyDescent="0.3">
      <c r="A4" s="11" t="s">
        <v>72</v>
      </c>
      <c r="B4">
        <v>32.5</v>
      </c>
      <c r="C4">
        <v>47</v>
      </c>
    </row>
    <row r="5" spans="1:3" x14ac:dyDescent="0.3">
      <c r="A5" s="11" t="s">
        <v>32</v>
      </c>
      <c r="B5">
        <v>30.5</v>
      </c>
      <c r="C5">
        <v>40</v>
      </c>
    </row>
    <row r="6" spans="1:3" x14ac:dyDescent="0.3">
      <c r="A6" s="11" t="s">
        <v>68</v>
      </c>
      <c r="B6">
        <v>31.8</v>
      </c>
      <c r="C6">
        <v>50</v>
      </c>
    </row>
    <row r="7" spans="1:3" x14ac:dyDescent="0.3">
      <c r="A7" s="11" t="s">
        <v>16</v>
      </c>
      <c r="B7">
        <v>31.2</v>
      </c>
      <c r="C7">
        <v>50</v>
      </c>
    </row>
    <row r="8" spans="1:3" x14ac:dyDescent="0.3">
      <c r="A8" s="11" t="s">
        <v>40</v>
      </c>
      <c r="B8">
        <v>29.8</v>
      </c>
      <c r="C8">
        <v>43</v>
      </c>
    </row>
    <row r="9" spans="1:3" x14ac:dyDescent="0.3">
      <c r="A9" s="11" t="s">
        <v>28</v>
      </c>
      <c r="B9">
        <v>33</v>
      </c>
      <c r="C9">
        <v>47</v>
      </c>
    </row>
    <row r="10" spans="1:3" x14ac:dyDescent="0.3">
      <c r="A10" s="11" t="s">
        <v>48</v>
      </c>
      <c r="B10">
        <v>34.200000000000003</v>
      </c>
      <c r="C10">
        <v>46</v>
      </c>
    </row>
    <row r="11" spans="1:3" x14ac:dyDescent="0.3">
      <c r="A11" s="11" t="s">
        <v>76</v>
      </c>
      <c r="B11">
        <v>30.3</v>
      </c>
      <c r="C11">
        <v>45</v>
      </c>
    </row>
    <row r="12" spans="1:3" x14ac:dyDescent="0.3">
      <c r="A12" s="11" t="s">
        <v>84</v>
      </c>
      <c r="B12">
        <v>34.700000000000003</v>
      </c>
      <c r="C12">
        <v>51</v>
      </c>
    </row>
    <row r="13" spans="1:3" x14ac:dyDescent="0.3">
      <c r="A13" s="11" t="s">
        <v>64</v>
      </c>
      <c r="B13">
        <v>35.1</v>
      </c>
      <c r="C13">
        <v>52</v>
      </c>
    </row>
    <row r="14" spans="1:3" x14ac:dyDescent="0.3">
      <c r="A14" s="11" t="s">
        <v>88</v>
      </c>
      <c r="B14">
        <v>31</v>
      </c>
      <c r="C14">
        <v>46</v>
      </c>
    </row>
    <row r="15" spans="1:3" x14ac:dyDescent="0.3">
      <c r="A15" s="11" t="s">
        <v>80</v>
      </c>
      <c r="B15">
        <v>33.5</v>
      </c>
      <c r="C15">
        <v>48</v>
      </c>
    </row>
    <row r="16" spans="1:3" x14ac:dyDescent="0.3">
      <c r="A16" s="11" t="s">
        <v>56</v>
      </c>
      <c r="B16">
        <v>33.799999999999997</v>
      </c>
      <c r="C16">
        <v>49</v>
      </c>
    </row>
    <row r="17" spans="1:3" x14ac:dyDescent="0.3">
      <c r="A17" s="11" t="s">
        <v>92</v>
      </c>
      <c r="B17">
        <v>32.799999999999997</v>
      </c>
      <c r="C17">
        <v>49</v>
      </c>
    </row>
    <row r="18" spans="1:3" x14ac:dyDescent="0.3">
      <c r="A18" s="11" t="s">
        <v>22</v>
      </c>
      <c r="B18">
        <v>29.9</v>
      </c>
      <c r="C18">
        <v>45</v>
      </c>
    </row>
    <row r="19" spans="1:3" x14ac:dyDescent="0.3">
      <c r="A19" s="11" t="s">
        <v>36</v>
      </c>
      <c r="B19">
        <v>32.700000000000003</v>
      </c>
      <c r="C19">
        <v>48</v>
      </c>
    </row>
    <row r="20" spans="1:3" x14ac:dyDescent="0.3">
      <c r="A20" s="11" t="s">
        <v>46</v>
      </c>
      <c r="B20">
        <v>31.5</v>
      </c>
      <c r="C20">
        <v>41</v>
      </c>
    </row>
    <row r="21" spans="1:3" x14ac:dyDescent="0.3">
      <c r="A21" s="11" t="s">
        <v>96</v>
      </c>
      <c r="B21">
        <v>35.299999999999997</v>
      </c>
      <c r="C21">
        <v>53</v>
      </c>
    </row>
    <row r="22" spans="1:3" x14ac:dyDescent="0.3">
      <c r="A22" s="11" t="s">
        <v>52</v>
      </c>
      <c r="B22">
        <v>29.6</v>
      </c>
      <c r="C22">
        <v>44</v>
      </c>
    </row>
    <row r="23" spans="1:3" x14ac:dyDescent="0.3">
      <c r="A23" s="11" t="s">
        <v>100</v>
      </c>
      <c r="B23">
        <v>31.7</v>
      </c>
      <c r="C23">
        <v>48</v>
      </c>
    </row>
    <row r="24" spans="1:3" x14ac:dyDescent="0.3">
      <c r="A24" s="11" t="s">
        <v>109</v>
      </c>
      <c r="B24">
        <v>32.245000000000005</v>
      </c>
      <c r="C24">
        <v>47.1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EB7F0-AB10-4396-A637-83E88CB6C069}">
  <dimension ref="A1:Z7"/>
  <sheetViews>
    <sheetView showGridLines="0" tabSelected="1" zoomScale="85" zoomScaleNormal="85" workbookViewId="0">
      <selection activeCell="S2" sqref="S2"/>
    </sheetView>
  </sheetViews>
  <sheetFormatPr defaultRowHeight="14.4" x14ac:dyDescent="0.3"/>
  <cols>
    <col min="1" max="16384" width="8.88671875" style="17"/>
  </cols>
  <sheetData>
    <row r="1" spans="1:26" ht="31.2" x14ac:dyDescent="0.6">
      <c r="A1" s="18" t="s">
        <v>121</v>
      </c>
      <c r="B1" s="19"/>
      <c r="C1" s="19"/>
      <c r="D1" s="19"/>
      <c r="E1" s="19"/>
      <c r="F1" s="19"/>
      <c r="G1" s="19"/>
      <c r="H1" s="19"/>
      <c r="I1" s="19"/>
      <c r="J1" s="19"/>
      <c r="K1" s="19"/>
      <c r="L1" s="19"/>
      <c r="M1" s="19"/>
      <c r="N1" s="19"/>
      <c r="O1" s="19"/>
      <c r="P1" s="19"/>
      <c r="Q1" s="19"/>
      <c r="R1" s="19"/>
      <c r="S1" s="19"/>
      <c r="T1" s="19"/>
      <c r="U1" s="19"/>
      <c r="V1" s="19"/>
      <c r="W1" s="19"/>
      <c r="X1" s="19"/>
      <c r="Y1" s="19"/>
      <c r="Z1" s="19"/>
    </row>
    <row r="2" spans="1:26" x14ac:dyDescent="0.3">
      <c r="E2" s="36" t="s">
        <v>122</v>
      </c>
      <c r="F2" s="20"/>
      <c r="G2" s="20"/>
      <c r="H2" s="21"/>
      <c r="I2" s="36" t="s">
        <v>123</v>
      </c>
      <c r="J2" s="20"/>
      <c r="K2" s="20"/>
      <c r="L2" s="21"/>
      <c r="M2" s="36" t="s">
        <v>124</v>
      </c>
      <c r="N2" s="20"/>
      <c r="O2" s="20"/>
      <c r="P2" s="21"/>
    </row>
    <row r="3" spans="1:26" ht="14.4" customHeight="1" x14ac:dyDescent="0.3">
      <c r="E3" s="22"/>
      <c r="F3" s="23"/>
      <c r="G3" s="23"/>
      <c r="H3" s="24"/>
      <c r="I3" s="22"/>
      <c r="J3" s="23"/>
      <c r="K3" s="23"/>
      <c r="L3" s="24"/>
      <c r="M3" s="22"/>
      <c r="N3" s="23"/>
      <c r="O3" s="23"/>
      <c r="P3" s="24"/>
    </row>
    <row r="4" spans="1:26" x14ac:dyDescent="0.3">
      <c r="E4" s="25"/>
      <c r="F4" s="26"/>
      <c r="G4" s="26"/>
      <c r="H4" s="27"/>
      <c r="I4" s="25"/>
      <c r="J4" s="26"/>
      <c r="K4" s="26"/>
      <c r="L4" s="27"/>
      <c r="M4" s="25"/>
      <c r="N4" s="26"/>
      <c r="O4" s="26"/>
      <c r="P4" s="27"/>
    </row>
    <row r="5" spans="1:26" ht="14.4" customHeight="1" x14ac:dyDescent="0.3">
      <c r="I5" s="37" t="s">
        <v>125</v>
      </c>
      <c r="J5" s="28"/>
      <c r="K5" s="28"/>
      <c r="L5" s="28"/>
      <c r="M5" s="28"/>
      <c r="N5" s="29"/>
      <c r="O5" s="37" t="s">
        <v>126</v>
      </c>
      <c r="P5" s="28"/>
      <c r="Q5" s="28"/>
      <c r="R5" s="28"/>
      <c r="S5" s="28"/>
      <c r="T5" s="29"/>
      <c r="U5" s="37" t="s">
        <v>127</v>
      </c>
      <c r="V5" s="28"/>
      <c r="W5" s="28"/>
      <c r="X5" s="28"/>
      <c r="Y5" s="28"/>
      <c r="Z5" s="29"/>
    </row>
    <row r="6" spans="1:26" x14ac:dyDescent="0.3">
      <c r="I6" s="30"/>
      <c r="J6" s="31"/>
      <c r="K6" s="31"/>
      <c r="L6" s="31"/>
      <c r="M6" s="31"/>
      <c r="N6" s="32"/>
      <c r="O6" s="30"/>
      <c r="P6" s="31"/>
      <c r="Q6" s="31"/>
      <c r="R6" s="31"/>
      <c r="S6" s="31"/>
      <c r="T6" s="32"/>
      <c r="U6" s="30"/>
      <c r="V6" s="31"/>
      <c r="W6" s="31"/>
      <c r="X6" s="31"/>
      <c r="Y6" s="31"/>
      <c r="Z6" s="32"/>
    </row>
    <row r="7" spans="1:26" x14ac:dyDescent="0.3">
      <c r="I7" s="33"/>
      <c r="J7" s="34"/>
      <c r="K7" s="34"/>
      <c r="L7" s="34"/>
      <c r="M7" s="34"/>
      <c r="N7" s="35"/>
      <c r="O7" s="33"/>
      <c r="P7" s="34"/>
      <c r="Q7" s="34"/>
      <c r="R7" s="34"/>
      <c r="S7" s="34"/>
      <c r="T7" s="35"/>
      <c r="U7" s="33"/>
      <c r="V7" s="34"/>
      <c r="W7" s="34"/>
      <c r="X7" s="34"/>
      <c r="Y7" s="34"/>
      <c r="Z7" s="35"/>
    </row>
  </sheetData>
  <mergeCells count="7">
    <mergeCell ref="U5:Z7"/>
    <mergeCell ref="E2:H4"/>
    <mergeCell ref="I2:L4"/>
    <mergeCell ref="M2:P4"/>
    <mergeCell ref="I5:N7"/>
    <mergeCell ref="O5:T7"/>
    <mergeCell ref="A1:Z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 data</vt:lpstr>
      <vt:lpstr>REGIONAL PATIENT DISTRIBUTION</vt:lpstr>
      <vt:lpstr>GENDER WISE BMI SPREAD</vt:lpstr>
      <vt:lpstr>GENDER VS SMOKING STATUS</vt:lpstr>
      <vt:lpstr>AVERAGE CHARGES BY NUMBER OF CH</vt:lpstr>
      <vt:lpstr>AVERAGE BMI AND AGE BY REGION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ansarisaba1243@hotmail.com</cp:lastModifiedBy>
  <dcterms:created xsi:type="dcterms:W3CDTF">2024-02-19T11:56:33Z</dcterms:created>
  <dcterms:modified xsi:type="dcterms:W3CDTF">2025-06-14T16:03:15Z</dcterms:modified>
</cp:coreProperties>
</file>